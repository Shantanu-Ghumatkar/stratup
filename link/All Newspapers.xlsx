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 activeTab="3"/>
  </bookViews>
  <sheets>
    <sheet name="Lokmat" sheetId="3" r:id="rId1"/>
    <sheet name="Sakal" sheetId="4" r:id="rId2"/>
    <sheet name="Loksatta today" sheetId="9" r:id="rId3"/>
    <sheet name="Pudhari" sheetId="7" r:id="rId4"/>
    <sheet name="Punya Nagari" sheetId="8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27" i="9" l="1"/>
  <c r="H126" i="9"/>
  <c r="H125" i="9"/>
  <c r="H124" i="9"/>
  <c r="H123" i="9"/>
  <c r="H122" i="9"/>
  <c r="H121" i="9"/>
  <c r="H120" i="9"/>
  <c r="H119" i="9"/>
  <c r="H118" i="9"/>
  <c r="H117" i="9"/>
  <c r="H116" i="9"/>
  <c r="H115" i="9"/>
  <c r="H114" i="9"/>
  <c r="H113" i="9"/>
  <c r="H112" i="9"/>
  <c r="H111" i="9"/>
  <c r="H110" i="9"/>
  <c r="H109" i="9"/>
  <c r="H108" i="9"/>
  <c r="H107" i="9"/>
  <c r="H105" i="9"/>
  <c r="H104" i="9"/>
  <c r="H103" i="9"/>
  <c r="H102" i="9"/>
  <c r="H101" i="9"/>
  <c r="H100" i="9"/>
  <c r="H99" i="9"/>
  <c r="H98" i="9"/>
  <c r="H97" i="9"/>
  <c r="H96" i="9"/>
  <c r="H95" i="9"/>
  <c r="H94" i="9"/>
  <c r="H93" i="9"/>
  <c r="H92" i="9"/>
  <c r="H91" i="9"/>
  <c r="H90" i="9"/>
  <c r="H89" i="9"/>
  <c r="H88" i="9"/>
  <c r="H87" i="9"/>
  <c r="H86" i="9"/>
  <c r="H85" i="9"/>
  <c r="H83" i="9"/>
  <c r="H82" i="9"/>
  <c r="H81" i="9"/>
  <c r="H80" i="9"/>
  <c r="H79" i="9"/>
  <c r="H78" i="9"/>
  <c r="H77" i="9"/>
  <c r="H76" i="9"/>
  <c r="H75" i="9"/>
  <c r="H74" i="9"/>
  <c r="H73" i="9"/>
  <c r="H72" i="9"/>
  <c r="H71" i="9"/>
  <c r="H70" i="9"/>
  <c r="H69" i="9"/>
  <c r="H68" i="9"/>
  <c r="H67" i="9"/>
  <c r="H66" i="9"/>
  <c r="H65" i="9"/>
  <c r="H64" i="9"/>
  <c r="H63" i="9"/>
  <c r="H61" i="9"/>
  <c r="H60" i="9"/>
  <c r="H59" i="9"/>
  <c r="H58" i="9"/>
  <c r="H57" i="9"/>
  <c r="H56" i="9"/>
  <c r="H55" i="9"/>
  <c r="H54" i="9"/>
  <c r="H53" i="9"/>
  <c r="H52" i="9"/>
  <c r="H51" i="9"/>
  <c r="H50" i="9"/>
  <c r="H49" i="9"/>
  <c r="H48" i="9"/>
  <c r="H47" i="9"/>
  <c r="H46" i="9"/>
  <c r="H45" i="9"/>
  <c r="H44" i="9"/>
  <c r="H43" i="9"/>
  <c r="H41" i="9"/>
  <c r="H40" i="9"/>
  <c r="H39" i="9"/>
  <c r="H38" i="9"/>
  <c r="H37" i="9"/>
  <c r="H36" i="9"/>
  <c r="H35" i="9"/>
  <c r="H34" i="9"/>
  <c r="H33" i="9"/>
  <c r="H32" i="9"/>
  <c r="H31" i="9"/>
  <c r="H30" i="9"/>
  <c r="H29" i="9"/>
  <c r="H28" i="9"/>
  <c r="H27" i="9"/>
  <c r="H26" i="9"/>
  <c r="H25" i="9"/>
  <c r="H24" i="9"/>
  <c r="H23" i="9"/>
  <c r="H21" i="9"/>
  <c r="H20" i="9"/>
  <c r="H19" i="9"/>
  <c r="H18" i="9"/>
  <c r="H17" i="9"/>
  <c r="H16" i="9"/>
  <c r="H15" i="9"/>
  <c r="H14" i="9"/>
  <c r="H13" i="9"/>
  <c r="H12" i="9"/>
  <c r="H11" i="9"/>
  <c r="H10" i="9"/>
  <c r="H9" i="9"/>
  <c r="H8" i="9"/>
  <c r="H7" i="9"/>
  <c r="H6" i="9"/>
  <c r="H5" i="9"/>
  <c r="H4" i="9"/>
  <c r="H3" i="9"/>
  <c r="G153" i="8" l="1"/>
  <c r="G154" i="8"/>
  <c r="G140" i="8"/>
  <c r="G141" i="8"/>
  <c r="G142" i="8"/>
  <c r="G143" i="8"/>
  <c r="G144" i="8"/>
  <c r="G145" i="8"/>
  <c r="G146" i="8"/>
  <c r="G147" i="8"/>
  <c r="G148" i="8"/>
  <c r="G149" i="8"/>
  <c r="G150" i="8"/>
  <c r="G151" i="8"/>
  <c r="G152" i="8"/>
  <c r="G139" i="8"/>
  <c r="G123" i="8"/>
  <c r="G124" i="8"/>
  <c r="G125" i="8"/>
  <c r="G126" i="8"/>
  <c r="G127" i="8"/>
  <c r="G128" i="8"/>
  <c r="G129" i="8"/>
  <c r="G130" i="8"/>
  <c r="G131" i="8"/>
  <c r="G132" i="8"/>
  <c r="G133" i="8"/>
  <c r="G134" i="8"/>
  <c r="G135" i="8"/>
  <c r="G136" i="8"/>
  <c r="G137" i="8"/>
  <c r="G122" i="8"/>
  <c r="G106" i="8"/>
  <c r="G107" i="8"/>
  <c r="G108" i="8"/>
  <c r="G109" i="8"/>
  <c r="G110" i="8"/>
  <c r="G111" i="8"/>
  <c r="G112" i="8"/>
  <c r="G113" i="8"/>
  <c r="G114" i="8"/>
  <c r="G115" i="8"/>
  <c r="G116" i="8"/>
  <c r="G117" i="8"/>
  <c r="G118" i="8"/>
  <c r="G119" i="8"/>
  <c r="G120" i="8"/>
  <c r="G105" i="8"/>
  <c r="G102" i="8"/>
  <c r="G103" i="8"/>
  <c r="G89" i="8"/>
  <c r="G90" i="8"/>
  <c r="G91" i="8"/>
  <c r="G92" i="8"/>
  <c r="G93" i="8"/>
  <c r="G94" i="8"/>
  <c r="G95" i="8"/>
  <c r="G96" i="8"/>
  <c r="G97" i="8"/>
  <c r="G98" i="8"/>
  <c r="G99" i="8"/>
  <c r="G100" i="8"/>
  <c r="G101" i="8"/>
  <c r="G88" i="8"/>
  <c r="G72" i="8"/>
  <c r="G73" i="8"/>
  <c r="G74" i="8"/>
  <c r="G75" i="8"/>
  <c r="G76" i="8"/>
  <c r="G77" i="8"/>
  <c r="G78" i="8"/>
  <c r="G79" i="8"/>
  <c r="G80" i="8"/>
  <c r="G81" i="8"/>
  <c r="G82" i="8"/>
  <c r="G83" i="8"/>
  <c r="G84" i="8"/>
  <c r="G85" i="8"/>
  <c r="G86" i="8"/>
  <c r="G71" i="8"/>
  <c r="G55" i="8"/>
  <c r="G56" i="8"/>
  <c r="G57" i="8"/>
  <c r="G58" i="8"/>
  <c r="G59" i="8"/>
  <c r="G60" i="8"/>
  <c r="G61" i="8"/>
  <c r="G62" i="8"/>
  <c r="G63" i="8"/>
  <c r="G64" i="8"/>
  <c r="G65" i="8"/>
  <c r="G66" i="8"/>
  <c r="G67" i="8"/>
  <c r="G68" i="8"/>
  <c r="G69" i="8"/>
  <c r="G54" i="8"/>
  <c r="G38" i="8"/>
  <c r="G39" i="8"/>
  <c r="G40" i="8"/>
  <c r="G41" i="8"/>
  <c r="G42" i="8"/>
  <c r="G43" i="8"/>
  <c r="G44" i="8"/>
  <c r="G45" i="8"/>
  <c r="G46" i="8"/>
  <c r="G47" i="8"/>
  <c r="G48" i="8"/>
  <c r="G49" i="8"/>
  <c r="G50" i="8"/>
  <c r="G51" i="8"/>
  <c r="G52" i="8"/>
  <c r="G37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G35" i="8"/>
  <c r="G20" i="8"/>
  <c r="G4" i="8"/>
  <c r="G5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3" i="8"/>
  <c r="E4" i="7"/>
  <c r="E134" i="7"/>
  <c r="E135" i="7"/>
  <c r="E136" i="7"/>
  <c r="E137" i="7"/>
  <c r="E123" i="7"/>
  <c r="E124" i="7"/>
  <c r="E125" i="7"/>
  <c r="E126" i="7"/>
  <c r="E127" i="7"/>
  <c r="E128" i="7"/>
  <c r="E129" i="7"/>
  <c r="E130" i="7"/>
  <c r="E131" i="7"/>
  <c r="E132" i="7"/>
  <c r="E133" i="7"/>
  <c r="E106" i="7"/>
  <c r="E107" i="7"/>
  <c r="E108" i="7"/>
  <c r="E109" i="7"/>
  <c r="E110" i="7"/>
  <c r="E111" i="7"/>
  <c r="E112" i="7"/>
  <c r="E113" i="7"/>
  <c r="E114" i="7"/>
  <c r="E115" i="7"/>
  <c r="E116" i="7"/>
  <c r="E117" i="7"/>
  <c r="E118" i="7"/>
  <c r="E119" i="7"/>
  <c r="E120" i="7"/>
  <c r="E89" i="7"/>
  <c r="E90" i="7"/>
  <c r="E91" i="7"/>
  <c r="E92" i="7"/>
  <c r="E93" i="7"/>
  <c r="E94" i="7"/>
  <c r="E95" i="7"/>
  <c r="E96" i="7"/>
  <c r="E97" i="7"/>
  <c r="E98" i="7"/>
  <c r="E99" i="7"/>
  <c r="E100" i="7"/>
  <c r="E101" i="7"/>
  <c r="E102" i="7"/>
  <c r="E103" i="7"/>
  <c r="E72" i="7"/>
  <c r="E73" i="7"/>
  <c r="E74" i="7"/>
  <c r="E75" i="7"/>
  <c r="E76" i="7"/>
  <c r="E77" i="7"/>
  <c r="E78" i="7"/>
  <c r="E79" i="7"/>
  <c r="E80" i="7"/>
  <c r="E81" i="7"/>
  <c r="E82" i="7"/>
  <c r="E83" i="7"/>
  <c r="E84" i="7"/>
  <c r="E85" i="7"/>
  <c r="E86" i="7"/>
  <c r="E122" i="7"/>
  <c r="E105" i="7"/>
  <c r="E88" i="7"/>
  <c r="E71" i="7"/>
  <c r="E66" i="7"/>
  <c r="E67" i="7"/>
  <c r="E68" i="7"/>
  <c r="E69" i="7"/>
  <c r="E55" i="7"/>
  <c r="E56" i="7"/>
  <c r="E57" i="7"/>
  <c r="E58" i="7"/>
  <c r="E59" i="7"/>
  <c r="E60" i="7"/>
  <c r="E61" i="7"/>
  <c r="E62" i="7"/>
  <c r="E63" i="7"/>
  <c r="E64" i="7"/>
  <c r="E65" i="7"/>
  <c r="E54" i="7"/>
  <c r="E38" i="7"/>
  <c r="E39" i="7"/>
  <c r="E40" i="7"/>
  <c r="E41" i="7"/>
  <c r="E42" i="7"/>
  <c r="E43" i="7"/>
  <c r="E44" i="7"/>
  <c r="E45" i="7"/>
  <c r="E46" i="7"/>
  <c r="E47" i="7"/>
  <c r="E48" i="7"/>
  <c r="E49" i="7"/>
  <c r="E50" i="7"/>
  <c r="E51" i="7"/>
  <c r="E52" i="7"/>
  <c r="E37" i="7"/>
  <c r="E20" i="7"/>
  <c r="E34" i="7"/>
  <c r="E35" i="7"/>
  <c r="E26" i="7"/>
  <c r="E27" i="7"/>
  <c r="E28" i="7"/>
  <c r="E29" i="7"/>
  <c r="E30" i="7"/>
  <c r="E31" i="7"/>
  <c r="E32" i="7"/>
  <c r="E33" i="7"/>
  <c r="E21" i="7"/>
  <c r="E22" i="7"/>
  <c r="E23" i="7"/>
  <c r="E24" i="7"/>
  <c r="E25" i="7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3" i="7"/>
  <c r="F3" i="4"/>
  <c r="F4" i="4"/>
  <c r="F196" i="4"/>
  <c r="F186" i="4"/>
  <c r="F187" i="4"/>
  <c r="F188" i="4"/>
  <c r="F189" i="4"/>
  <c r="F190" i="4"/>
  <c r="F191" i="4"/>
  <c r="F192" i="4"/>
  <c r="F193" i="4"/>
  <c r="F194" i="4"/>
  <c r="F195" i="4"/>
  <c r="F173" i="4"/>
  <c r="F174" i="4"/>
  <c r="F175" i="4"/>
  <c r="F176" i="4"/>
  <c r="F177" i="4"/>
  <c r="F178" i="4"/>
  <c r="F179" i="4"/>
  <c r="F180" i="4"/>
  <c r="F181" i="4"/>
  <c r="F182" i="4"/>
  <c r="F183" i="4"/>
  <c r="F160" i="4"/>
  <c r="F161" i="4"/>
  <c r="F162" i="4"/>
  <c r="F163" i="4"/>
  <c r="F164" i="4"/>
  <c r="F165" i="4"/>
  <c r="F166" i="4"/>
  <c r="F167" i="4"/>
  <c r="F168" i="4"/>
  <c r="F169" i="4"/>
  <c r="F170" i="4"/>
  <c r="F157" i="4"/>
  <c r="F147" i="4"/>
  <c r="F148" i="4"/>
  <c r="F149" i="4"/>
  <c r="F150" i="4"/>
  <c r="F151" i="4"/>
  <c r="F152" i="4"/>
  <c r="F153" i="4"/>
  <c r="F154" i="4"/>
  <c r="F155" i="4"/>
  <c r="F156" i="4"/>
  <c r="F134" i="4"/>
  <c r="F135" i="4"/>
  <c r="F136" i="4"/>
  <c r="F137" i="4"/>
  <c r="F138" i="4"/>
  <c r="F139" i="4"/>
  <c r="F140" i="4"/>
  <c r="F141" i="4"/>
  <c r="F142" i="4"/>
  <c r="F143" i="4"/>
  <c r="F144" i="4"/>
  <c r="F121" i="4"/>
  <c r="F122" i="4"/>
  <c r="F123" i="4"/>
  <c r="F124" i="4"/>
  <c r="F125" i="4"/>
  <c r="F126" i="4"/>
  <c r="F127" i="4"/>
  <c r="F128" i="4"/>
  <c r="F129" i="4"/>
  <c r="F130" i="4"/>
  <c r="F131" i="4"/>
  <c r="F117" i="4"/>
  <c r="F118" i="4"/>
  <c r="F108" i="4"/>
  <c r="F109" i="4"/>
  <c r="F110" i="4"/>
  <c r="F111" i="4"/>
  <c r="F112" i="4"/>
  <c r="F113" i="4"/>
  <c r="F114" i="4"/>
  <c r="F115" i="4"/>
  <c r="F116" i="4"/>
  <c r="F95" i="4"/>
  <c r="F96" i="4"/>
  <c r="F97" i="4"/>
  <c r="F98" i="4"/>
  <c r="F99" i="4"/>
  <c r="F100" i="4"/>
  <c r="F101" i="4"/>
  <c r="F102" i="4"/>
  <c r="F103" i="4"/>
  <c r="F104" i="4"/>
  <c r="F105" i="4"/>
  <c r="F82" i="4"/>
  <c r="F83" i="4"/>
  <c r="F84" i="4"/>
  <c r="F85" i="4"/>
  <c r="F86" i="4"/>
  <c r="F87" i="4"/>
  <c r="F88" i="4"/>
  <c r="F89" i="4"/>
  <c r="F90" i="4"/>
  <c r="F91" i="4"/>
  <c r="F92" i="4"/>
  <c r="F79" i="4"/>
  <c r="F78" i="4"/>
  <c r="F69" i="4"/>
  <c r="F70" i="4"/>
  <c r="F71" i="4"/>
  <c r="F72" i="4"/>
  <c r="F73" i="4"/>
  <c r="F74" i="4"/>
  <c r="F75" i="4"/>
  <c r="F76" i="4"/>
  <c r="F77" i="4"/>
  <c r="F65" i="4"/>
  <c r="F66" i="4"/>
  <c r="F56" i="4"/>
  <c r="F57" i="4"/>
  <c r="F58" i="4"/>
  <c r="F59" i="4"/>
  <c r="F60" i="4"/>
  <c r="F61" i="4"/>
  <c r="F62" i="4"/>
  <c r="F63" i="4"/>
  <c r="F64" i="4"/>
  <c r="F43" i="4"/>
  <c r="F44" i="4"/>
  <c r="F45" i="4"/>
  <c r="F46" i="4"/>
  <c r="F47" i="4"/>
  <c r="F48" i="4"/>
  <c r="F49" i="4"/>
  <c r="F50" i="4"/>
  <c r="F51" i="4"/>
  <c r="F52" i="4"/>
  <c r="F53" i="4"/>
  <c r="F30" i="4"/>
  <c r="F31" i="4"/>
  <c r="F32" i="4"/>
  <c r="F33" i="4"/>
  <c r="F34" i="4"/>
  <c r="F35" i="4"/>
  <c r="F36" i="4"/>
  <c r="F37" i="4"/>
  <c r="F38" i="4"/>
  <c r="F39" i="4"/>
  <c r="F40" i="4"/>
  <c r="F27" i="4"/>
  <c r="F17" i="4"/>
  <c r="F18" i="4"/>
  <c r="F19" i="4"/>
  <c r="F20" i="4"/>
  <c r="F21" i="4"/>
  <c r="F22" i="4"/>
  <c r="F23" i="4"/>
  <c r="F24" i="4"/>
  <c r="F25" i="4"/>
  <c r="F26" i="4"/>
  <c r="F5" i="4"/>
  <c r="F6" i="4"/>
  <c r="F7" i="4"/>
  <c r="F8" i="4"/>
  <c r="F9" i="4"/>
  <c r="F10" i="4"/>
  <c r="F11" i="4"/>
  <c r="F12" i="4"/>
  <c r="F13" i="4"/>
  <c r="F14" i="4"/>
  <c r="F185" i="4"/>
  <c r="F172" i="4"/>
  <c r="F159" i="4"/>
  <c r="F146" i="4"/>
  <c r="F133" i="4"/>
  <c r="F120" i="4"/>
  <c r="F107" i="4"/>
  <c r="F94" i="4"/>
  <c r="F81" i="4"/>
  <c r="F68" i="4"/>
  <c r="F55" i="4"/>
  <c r="F42" i="4"/>
  <c r="F29" i="4"/>
  <c r="F16" i="4"/>
  <c r="F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179" i="3"/>
  <c r="F180" i="3"/>
  <c r="F181" i="3"/>
  <c r="F182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28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10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183" i="3"/>
  <c r="F165" i="3"/>
  <c r="F147" i="3"/>
  <c r="F129" i="3"/>
  <c r="F111" i="3"/>
  <c r="F93" i="3"/>
  <c r="F75" i="3"/>
  <c r="F57" i="3"/>
  <c r="F39" i="3"/>
  <c r="F33" i="3"/>
  <c r="F34" i="3"/>
  <c r="F35" i="3"/>
  <c r="F36" i="3"/>
  <c r="F37" i="3"/>
  <c r="F38" i="3"/>
  <c r="F22" i="3"/>
  <c r="F23" i="3"/>
  <c r="F24" i="3"/>
  <c r="F25" i="3"/>
  <c r="F26" i="3"/>
  <c r="F27" i="3"/>
  <c r="F28" i="3"/>
  <c r="F29" i="3"/>
  <c r="F30" i="3"/>
  <c r="F31" i="3"/>
  <c r="F32" i="3"/>
  <c r="F21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4" i="3"/>
</calcChain>
</file>

<file path=xl/sharedStrings.xml><?xml version="1.0" encoding="utf-8"?>
<sst xmlns="http://schemas.openxmlformats.org/spreadsheetml/2006/main" count="357" uniqueCount="337">
  <si>
    <t>/07</t>
  </si>
  <si>
    <t>/01</t>
  </si>
  <si>
    <t>/02</t>
  </si>
  <si>
    <t>/03</t>
  </si>
  <si>
    <t>/04</t>
  </si>
  <si>
    <t>/05</t>
  </si>
  <si>
    <t>/06</t>
  </si>
  <si>
    <t>/08</t>
  </si>
  <si>
    <t>/09</t>
  </si>
  <si>
    <t>/10</t>
  </si>
  <si>
    <t>/11</t>
  </si>
  <si>
    <t>/12</t>
  </si>
  <si>
    <t>/13</t>
  </si>
  <si>
    <t>/14</t>
  </si>
  <si>
    <t>Mumbai</t>
  </si>
  <si>
    <t>Pune</t>
  </si>
  <si>
    <t>Nagpur</t>
  </si>
  <si>
    <t>Kolhapur</t>
  </si>
  <si>
    <t>Nashik</t>
  </si>
  <si>
    <t>Jalgaon</t>
  </si>
  <si>
    <t>Akola</t>
  </si>
  <si>
    <t>Goa</t>
  </si>
  <si>
    <t>Solapur</t>
  </si>
  <si>
    <t>http://epaper.lokmat.com/main-editions/</t>
  </si>
  <si>
    <t>%20Main/</t>
  </si>
  <si>
    <t>Dhule</t>
  </si>
  <si>
    <t>Nanded</t>
  </si>
  <si>
    <t>https://epaper.loksatta.com/</t>
  </si>
  <si>
    <t>MUM</t>
  </si>
  <si>
    <t>PAL</t>
  </si>
  <si>
    <t>PUN</t>
  </si>
  <si>
    <t>KOL</t>
  </si>
  <si>
    <t>SAN</t>
  </si>
  <si>
    <t>SAT</t>
  </si>
  <si>
    <t>SOL</t>
  </si>
  <si>
    <t>AHM</t>
  </si>
  <si>
    <t>RAT</t>
  </si>
  <si>
    <t>SIN</t>
  </si>
  <si>
    <t>GOA</t>
  </si>
  <si>
    <t>BEL</t>
  </si>
  <si>
    <t>NAS</t>
  </si>
  <si>
    <t>AUR</t>
  </si>
  <si>
    <t>JAL</t>
  </si>
  <si>
    <t>BED</t>
  </si>
  <si>
    <t>PUNP</t>
  </si>
  <si>
    <t>PAR</t>
  </si>
  <si>
    <t>NAN</t>
  </si>
  <si>
    <t>LAT</t>
  </si>
  <si>
    <t>THE</t>
  </si>
  <si>
    <t>RGD</t>
  </si>
  <si>
    <t>Sangli</t>
  </si>
  <si>
    <t>Ratnagiri</t>
  </si>
  <si>
    <t>Sindhudurg</t>
  </si>
  <si>
    <t>2026-09-26</t>
  </si>
  <si>
    <t>/15</t>
  </si>
  <si>
    <t>/16</t>
  </si>
  <si>
    <t>/17</t>
  </si>
  <si>
    <t>/18</t>
  </si>
  <si>
    <t>Chhatrapati%20Sambhajinagar</t>
  </si>
  <si>
    <t>Ahilyanagar</t>
  </si>
  <si>
    <t>https://epaper.esakal.com/smartepaper/UI/home.aspx?q=</t>
  </si>
  <si>
    <t>/Main/</t>
  </si>
  <si>
    <t>Chh_Sambhajinagar</t>
  </si>
  <si>
    <t>Nagar</t>
  </si>
  <si>
    <t>/Mumbai/</t>
  </si>
  <si>
    <t>/1</t>
  </si>
  <si>
    <t>#dual/</t>
  </si>
  <si>
    <t>/Pune/</t>
  </si>
  <si>
    <t>/Nagpur/</t>
  </si>
  <si>
    <t>/Nasik/</t>
  </si>
  <si>
    <t>/Chhatrapati-Sambhajinagar/</t>
  </si>
  <si>
    <t>/Ahilyanagar/</t>
  </si>
  <si>
    <t>02-10-2026</t>
  </si>
  <si>
    <t>/page/</t>
  </si>
  <si>
    <t>https://epaper.pudhari.news/edition/maineidition/PUDHARI_</t>
  </si>
  <si>
    <t>PUNUS</t>
  </si>
  <si>
    <t>https://epaper.pudhari.news/edition/mainedition/PUDHARI_SAT/page/1</t>
  </si>
  <si>
    <t>https://epaper.pudhari.news/edition/mainedition/PUDHARI_SAT/page/2</t>
  </si>
  <si>
    <t>https://epaper.pudhari.news/edition/mainedition/PUDHARI_SAT/page/3</t>
  </si>
  <si>
    <t>https://epaper.pudhari.news/edition/mainedition/PUDHARI_SAT/page/4</t>
  </si>
  <si>
    <t>https://epaper.pudhari.news/edition/mainedition/PUDHARI_SAT/page/5</t>
  </si>
  <si>
    <t>https://epaper.pudhari.news/edition/mainedition/PUDHARI_SAT/page/6</t>
  </si>
  <si>
    <t>https://epaper.pudhari.news/edition/mainedition/PUDHARI_SAT/page/7</t>
  </si>
  <si>
    <t>https://epaper.pudhari.news/edition/mainedition/PUDHARI_SAT/page/8</t>
  </si>
  <si>
    <t>https://epaper.pudhari.news/edition/mainedition/PUDHARI_SAT/page/9</t>
  </si>
  <si>
    <t>https://epaper.pudhari.news/edition/mainedition/PUDHARI_SAT/page/10</t>
  </si>
  <si>
    <t>https://epaper.pudhari.news/edition/mainedition/PUDHARI_SAT/page/11</t>
  </si>
  <si>
    <t>https://epaper.pudhari.news/edition/mainedition/PUDHARI_SAT/page/12</t>
  </si>
  <si>
    <t>https://epaper.pudhari.news/edition/mainedition/PUDHARI_SAT/page/13</t>
  </si>
  <si>
    <t>https://epaper.pudhari.news/edition/mainedition/PUDHARI_SAT/page/14</t>
  </si>
  <si>
    <t>https://epaper.pudhari.news/edition/mainedition/PUDHARI_SAT/page/15</t>
  </si>
  <si>
    <t>https://epaper.pudhari.news/edition/mainedition/PUDHARI_SAT/page/16</t>
  </si>
  <si>
    <t>https://epaper.pudhari.news/edition/mainedition/PUDHARI_SOL/page/1</t>
  </si>
  <si>
    <t>https://epaper.pudhari.news/edition/mainedition/PUDHARI_SOL/page/2</t>
  </si>
  <si>
    <t>https://epaper.pudhari.news/edition/mainedition/PUDHARI_SOL/page/3</t>
  </si>
  <si>
    <t>https://epaper.pudhari.news/edition/mainedition/PUDHARI_SOL/page/4</t>
  </si>
  <si>
    <t>https://epaper.pudhari.news/edition/mainedition/PUDHARI_SOL/page/5</t>
  </si>
  <si>
    <t>https://epaper.pudhari.news/edition/mainedition/PUDHARI_SOL/page/6</t>
  </si>
  <si>
    <t>https://epaper.pudhari.news/edition/mainedition/PUDHARI_SOL/page/7</t>
  </si>
  <si>
    <t>https://epaper.pudhari.news/edition/mainedition/PUDHARI_SOL/page/8</t>
  </si>
  <si>
    <t>https://epaper.pudhari.news/edition/mainedition/PUDHARI_SOL/page/9</t>
  </si>
  <si>
    <t>https://epaper.pudhari.news/edition/mainedition/PUDHARI_SOL/page/10</t>
  </si>
  <si>
    <t>https://epaper.pudhari.news/edition/mainedition/PUDHARI_SOL/page/11</t>
  </si>
  <si>
    <t>https://epaper.pudhari.news/edition/mainedition/PUDHARI_SOL/page/12</t>
  </si>
  <si>
    <t>https://epaper.pudhari.news/edition/mainedition/PUDHARI_SOL/page/13</t>
  </si>
  <si>
    <t>https://epaper.pudhari.news/edition/mainedition/PUDHARI_SOL/page/14</t>
  </si>
  <si>
    <t>https://epaper.pudhari.news/edition/mainedition/PUDHARI_SOL/page/15</t>
  </si>
  <si>
    <t>https://epaper.pudhari.news/edition/mainedition/PUDHARI_SOL/page/16</t>
  </si>
  <si>
    <t>https://epaper.pudhari.news/edition/mainedition/PUDHARI_AHM/page/1</t>
  </si>
  <si>
    <t>https://epaper.pudhari.news/edition/mainedition/PUDHARI_AHM/page/2</t>
  </si>
  <si>
    <t>https://epaper.pudhari.news/edition/mainedition/PUDHARI_AHM/page/3</t>
  </si>
  <si>
    <t>https://epaper.pudhari.news/edition/mainedition/PUDHARI_AHM/page/4</t>
  </si>
  <si>
    <t>https://epaper.pudhari.news/edition/mainedition/PUDHARI_AHM/page/5</t>
  </si>
  <si>
    <t>https://epaper.pudhari.news/edition/mainedition/PUDHARI_AHM/page/6</t>
  </si>
  <si>
    <t>https://epaper.pudhari.news/edition/mainedition/PUDHARI_AHM/page/7</t>
  </si>
  <si>
    <t>https://epaper.pudhari.news/edition/mainedition/PUDHARI_AHM/page/8</t>
  </si>
  <si>
    <t>https://epaper.pudhari.news/edition/mainedition/PUDHARI_AHM/page/9</t>
  </si>
  <si>
    <t>https://epaper.pudhari.news/edition/mainedition/PUDHARI_AHM/page/10</t>
  </si>
  <si>
    <t>https://epaper.pudhari.news/edition/mainedition/PUDHARI_AHM/page/11</t>
  </si>
  <si>
    <t>https://epaper.pudhari.news/edition/mainedition/PUDHARI_AHM/page/12</t>
  </si>
  <si>
    <t>https://epaper.pudhari.news/edition/mainedition/PUDHARI_AHM/page/13</t>
  </si>
  <si>
    <t>https://epaper.pudhari.news/edition/mainedition/PUDHARI_AHM/page/14</t>
  </si>
  <si>
    <t>https://epaper.pudhari.news/edition/mainedition/PUDHARI_AHM/page/15</t>
  </si>
  <si>
    <t>https://epaper.pudhari.news/edition/mainedition/PUDHARI_AHM/page/16</t>
  </si>
  <si>
    <t>https://epaper.pudhari.news/edition/mainedition/PUDHARI_RAT/page/1</t>
  </si>
  <si>
    <t>https://epaper.pudhari.news/edition/mainedition/PUDHARI_RAT/page/2</t>
  </si>
  <si>
    <t>https://epaper.pudhari.news/edition/mainedition/PUDHARI_RAT/page/3</t>
  </si>
  <si>
    <t>https://epaper.pudhari.news/edition/mainedition/PUDHARI_RAT/page/4</t>
  </si>
  <si>
    <t>https://epaper.pudhari.news/edition/mainedition/PUDHARI_RAT/page/5</t>
  </si>
  <si>
    <t>https://epaper.pudhari.news/edition/mainedition/PUDHARI_RAT/page/6</t>
  </si>
  <si>
    <t>https://epaper.pudhari.news/edition/mainedition/PUDHARI_RAT/page/7</t>
  </si>
  <si>
    <t>https://epaper.pudhari.news/edition/mainedition/PUDHARI_RAT/page/8</t>
  </si>
  <si>
    <t>https://epaper.pudhari.news/edition/mainedition/PUDHARI_RAT/page/9</t>
  </si>
  <si>
    <t>https://epaper.pudhari.news/edition/mainedition/PUDHARI_RAT/page/10</t>
  </si>
  <si>
    <t>https://epaper.pudhari.news/edition/mainedition/PUDHARI_RAT/page/11</t>
  </si>
  <si>
    <t>https://epaper.pudhari.news/edition/mainedition/PUDHARI_RAT/page/12</t>
  </si>
  <si>
    <t>https://epaper.pudhari.news/edition/mainedition/PUDHARI_RAT/page/13</t>
  </si>
  <si>
    <t>https://epaper.pudhari.news/edition/mainedition/PUDHARI_RAT/page/14</t>
  </si>
  <si>
    <t>https://epaper.pudhari.news/edition/mainedition/PUDHARI_RAT/page/15</t>
  </si>
  <si>
    <t>https://epaper.pudhari.news/edition/mainedition/PUDHARI_RAT/page/16</t>
  </si>
  <si>
    <t>https://epaper.pudhari.news/edition/mainedition/PUDHARI_SIN/page/1</t>
  </si>
  <si>
    <t>https://epaper.pudhari.news/edition/mainedition/PUDHARI_SIN/page/2</t>
  </si>
  <si>
    <t>https://epaper.pudhari.news/edition/mainedition/PUDHARI_SIN/page/3</t>
  </si>
  <si>
    <t>https://epaper.pudhari.news/edition/mainedition/PUDHARI_SIN/page/4</t>
  </si>
  <si>
    <t>https://epaper.pudhari.news/edition/mainedition/PUDHARI_SIN/page/5</t>
  </si>
  <si>
    <t>https://epaper.pudhari.news/edition/mainedition/PUDHARI_SIN/page/6</t>
  </si>
  <si>
    <t>https://epaper.pudhari.news/edition/mainedition/PUDHARI_SIN/page/7</t>
  </si>
  <si>
    <t>https://epaper.pudhari.news/edition/mainedition/PUDHARI_SIN/page/8</t>
  </si>
  <si>
    <t>https://epaper.pudhari.news/edition/mainedition/PUDHARI_SIN/page/9</t>
  </si>
  <si>
    <t>https://epaper.pudhari.news/edition/mainedition/PUDHARI_SIN/page/10</t>
  </si>
  <si>
    <t>https://epaper.pudhari.news/edition/mainedition/PUDHARI_SIN/page/11</t>
  </si>
  <si>
    <t>https://epaper.pudhari.news/edition/mainedition/PUDHARI_SIN/page/12</t>
  </si>
  <si>
    <t>https://epaper.pudhari.news/edition/mainedition/PUDHARI_SIN/page/13</t>
  </si>
  <si>
    <t>https://epaper.pudhari.news/edition/mainedition/PUDHARI_SIN/page/14</t>
  </si>
  <si>
    <t>https://epaper.pudhari.news/edition/mainedition/PUDHARI_SIN/page/15</t>
  </si>
  <si>
    <t>https://epaper.pudhari.news/edition/mainedition/PUDHARI_SIN/page/16</t>
  </si>
  <si>
    <t>https://epaper.pudhari.news/edition/mainedition/PUDHARI_GOA/page/1</t>
  </si>
  <si>
    <t>https://epaper.pudhari.news/edition/mainedition/PUDHARI_GOA/page/2</t>
  </si>
  <si>
    <t>https://epaper.pudhari.news/edition/mainedition/PUDHARI_GOA/page/3</t>
  </si>
  <si>
    <t>https://epaper.pudhari.news/edition/mainedition/PUDHARI_GOA/page/4</t>
  </si>
  <si>
    <t>https://epaper.pudhari.news/edition/mainedition/PUDHARI_GOA/page/5</t>
  </si>
  <si>
    <t>https://epaper.pudhari.news/edition/mainedition/PUDHARI_GOA/page/6</t>
  </si>
  <si>
    <t>https://epaper.pudhari.news/edition/mainedition/PUDHARI_GOA/page/7</t>
  </si>
  <si>
    <t>https://epaper.pudhari.news/edition/mainedition/PUDHARI_GOA/page/8</t>
  </si>
  <si>
    <t>https://epaper.pudhari.news/edition/mainedition/PUDHARI_GOA/page/9</t>
  </si>
  <si>
    <t>https://epaper.pudhari.news/edition/mainedition/PUDHARI_GOA/page/10</t>
  </si>
  <si>
    <t>https://epaper.pudhari.news/edition/mainedition/PUDHARI_GOA/page/11</t>
  </si>
  <si>
    <t>https://epaper.pudhari.news/edition/mainedition/PUDHARI_GOA/page/12</t>
  </si>
  <si>
    <t>https://epaper.pudhari.news/edition/mainedition/PUDHARI_GOA/page/13</t>
  </si>
  <si>
    <t>https://epaper.pudhari.news/edition/mainedition/PUDHARI_GOA/page/14</t>
  </si>
  <si>
    <t>https://epaper.pudhari.news/edition/mainedition/PUDHARI_GOA/page/15</t>
  </si>
  <si>
    <t>https://epaper.pudhari.news/edition/mainedition/PUDHARI_GOA/page/16</t>
  </si>
  <si>
    <t>https://epaper.pudhari.news/edition/mainedition/PUDHARI_BEL/page/1</t>
  </si>
  <si>
    <t>https://epaper.pudhari.news/edition/mainedition/PUDHARI_BEL/page/2</t>
  </si>
  <si>
    <t>https://epaper.pudhari.news/edition/mainedition/PUDHARI_BEL/page/3</t>
  </si>
  <si>
    <t>https://epaper.pudhari.news/edition/mainedition/PUDHARI_BEL/page/4</t>
  </si>
  <si>
    <t>https://epaper.pudhari.news/edition/mainedition/PUDHARI_BEL/page/5</t>
  </si>
  <si>
    <t>https://epaper.pudhari.news/edition/mainedition/PUDHARI_BEL/page/6</t>
  </si>
  <si>
    <t>https://epaper.pudhari.news/edition/mainedition/PUDHARI_BEL/page/7</t>
  </si>
  <si>
    <t>https://epaper.pudhari.news/edition/mainedition/PUDHARI_BEL/page/8</t>
  </si>
  <si>
    <t>https://epaper.pudhari.news/edition/mainedition/PUDHARI_BEL/page/9</t>
  </si>
  <si>
    <t>https://epaper.pudhari.news/edition/mainedition/PUDHARI_BEL/page/10</t>
  </si>
  <si>
    <t>https://epaper.pudhari.news/edition/mainedition/PUDHARI_BEL/page/11</t>
  </si>
  <si>
    <t>https://epaper.pudhari.news/edition/mainedition/PUDHARI_BEL/page/12</t>
  </si>
  <si>
    <t>https://epaper.pudhari.news/edition/mainedition/PUDHARI_BEL/page/13</t>
  </si>
  <si>
    <t>https://epaper.pudhari.news/edition/mainedition/PUDHARI_BEL/page/14</t>
  </si>
  <si>
    <t>https://epaper.pudhari.news/edition/mainedition/PUDHARI_BEL/page/15</t>
  </si>
  <si>
    <t>https://epaper.pudhari.news/edition/mainedition/PUDHARI_BEL/page/16</t>
  </si>
  <si>
    <t>https://epaper.pudhari.news/edition/mainedition/PUDHARI_NAS/page/1</t>
  </si>
  <si>
    <t>https://epaper.pudhari.news/edition/mainedition/PUDHARI_NAS/page/2</t>
  </si>
  <si>
    <t>https://epaper.pudhari.news/edition/mainedition/PUDHARI_NAS/page/3</t>
  </si>
  <si>
    <t>https://epaper.pudhari.news/edition/mainedition/PUDHARI_NAS/page/4</t>
  </si>
  <si>
    <t>https://epaper.pudhari.news/edition/mainedition/PUDHARI_NAS/page/5</t>
  </si>
  <si>
    <t>https://epaper.pudhari.news/edition/mainedition/PUDHARI_NAS/page/6</t>
  </si>
  <si>
    <t>https://epaper.pudhari.news/edition/mainedition/PUDHARI_NAS/page/7</t>
  </si>
  <si>
    <t>https://epaper.pudhari.news/edition/mainedition/PUDHARI_NAS/page/8</t>
  </si>
  <si>
    <t>https://epaper.pudhari.news/edition/mainedition/PUDHARI_NAS/page/9</t>
  </si>
  <si>
    <t>https://epaper.pudhari.news/edition/mainedition/PUDHARI_NAS/page/10</t>
  </si>
  <si>
    <t>https://epaper.pudhari.news/edition/mainedition/PUDHARI_NAS/page/11</t>
  </si>
  <si>
    <t>https://epaper.pudhari.news/edition/mainedition/PUDHARI_NAS/page/12</t>
  </si>
  <si>
    <t>https://epaper.pudhari.news/edition/mainedition/PUDHARI_NAS/page/13</t>
  </si>
  <si>
    <t>https://epaper.pudhari.news/edition/mainedition/PUDHARI_NAS/page/14</t>
  </si>
  <si>
    <t>https://epaper.pudhari.news/edition/mainedition/PUDHARI_NAS/page/15</t>
  </si>
  <si>
    <t>https://epaper.pudhari.news/edition/mainedition/PUDHARI_NAS/page/16</t>
  </si>
  <si>
    <t>https://epaper.pudhari.news/edition/mainedition/PUDHARI_AUR/page/1</t>
  </si>
  <si>
    <t>https://epaper.pudhari.news/edition/mainedition/PUDHARI_AUR/page/2</t>
  </si>
  <si>
    <t>https://epaper.pudhari.news/edition/mainedition/PUDHARI_AUR/page/3</t>
  </si>
  <si>
    <t>https://epaper.pudhari.news/edition/mainedition/PUDHARI_AUR/page/4</t>
  </si>
  <si>
    <t>https://epaper.pudhari.news/edition/mainedition/PUDHARI_AUR/page/5</t>
  </si>
  <si>
    <t>https://epaper.pudhari.news/edition/mainedition/PUDHARI_AUR/page/6</t>
  </si>
  <si>
    <t>https://epaper.pudhari.news/edition/mainedition/PUDHARI_AUR/page/7</t>
  </si>
  <si>
    <t>https://epaper.pudhari.news/edition/mainedition/PUDHARI_AUR/page/8</t>
  </si>
  <si>
    <t>https://epaper.pudhari.news/edition/mainedition/PUDHARI_AUR/page/9</t>
  </si>
  <si>
    <t>https://epaper.pudhari.news/edition/mainedition/PUDHARI_AUR/page/10</t>
  </si>
  <si>
    <t>https://epaper.pudhari.news/edition/mainedition/PUDHARI_AUR/page/11</t>
  </si>
  <si>
    <t>https://epaper.pudhari.news/edition/mainedition/PUDHARI_AUR/page/12</t>
  </si>
  <si>
    <t>https://epaper.pudhari.news/edition/mainedition/PUDHARI_AUR/page/13</t>
  </si>
  <si>
    <t>https://epaper.pudhari.news/edition/mainedition/PUDHARI_AUR/page/14</t>
  </si>
  <si>
    <t>https://epaper.pudhari.news/edition/mainedition/PUDHARI_AUR/page/15</t>
  </si>
  <si>
    <t>https://epaper.pudhari.news/edition/mainedition/PUDHARI_AUR/page/16</t>
  </si>
  <si>
    <t>https://epaper.pudhari.news/edition/mainedition/PUDHARI_JAL/page/1</t>
  </si>
  <si>
    <t>https://epaper.pudhari.news/edition/mainedition/PUDHARI_JAL/page/2</t>
  </si>
  <si>
    <t>https://epaper.pudhari.news/edition/mainedition/PUDHARI_JAL/page/3</t>
  </si>
  <si>
    <t>https://epaper.pudhari.news/edition/mainedition/PUDHARI_JAL/page/4</t>
  </si>
  <si>
    <t>https://epaper.pudhari.news/edition/mainedition/PUDHARI_JAL/page/5</t>
  </si>
  <si>
    <t>https://epaper.pudhari.news/edition/mainedition/PUDHARI_JAL/page/6</t>
  </si>
  <si>
    <t>https://epaper.pudhari.news/edition/mainedition/PUDHARI_JAL/page/7</t>
  </si>
  <si>
    <t>https://epaper.pudhari.news/edition/mainedition/PUDHARI_JAL/page/8</t>
  </si>
  <si>
    <t>https://epaper.pudhari.news/edition/mainedition/PUDHARI_JAL/page/9</t>
  </si>
  <si>
    <t>https://epaper.pudhari.news/edition/mainedition/PUDHARI_JAL/page/10</t>
  </si>
  <si>
    <t>https://epaper.pudhari.news/edition/mainedition/PUDHARI_JAL/page/11</t>
  </si>
  <si>
    <t>https://epaper.pudhari.news/edition/mainedition/PUDHARI_JAL/page/12</t>
  </si>
  <si>
    <t>https://epaper.pudhari.news/edition/mainedition/PUDHARI_JAL/page/13</t>
  </si>
  <si>
    <t>https://epaper.pudhari.news/edition/mainedition/PUDHARI_JAL/page/14</t>
  </si>
  <si>
    <t>https://epaper.pudhari.news/edition/mainedition/PUDHARI_JAL/page/15</t>
  </si>
  <si>
    <t>https://epaper.pudhari.news/edition/mainedition/PUDHARI_JAL/page/16</t>
  </si>
  <si>
    <t>https://epaper.pudhari.news/edition/mainedition/PUDHARI_BED/page/1</t>
  </si>
  <si>
    <t>https://epaper.pudhari.news/edition/mainedition/PUDHARI_BED/page/2</t>
  </si>
  <si>
    <t>https://epaper.pudhari.news/edition/mainedition/PUDHARI_BED/page/3</t>
  </si>
  <si>
    <t>https://epaper.pudhari.news/edition/mainedition/PUDHARI_BED/page/4</t>
  </si>
  <si>
    <t>https://epaper.pudhari.news/edition/mainedition/PUDHARI_BED/page/5</t>
  </si>
  <si>
    <t>https://epaper.pudhari.news/edition/mainedition/PUDHARI_BED/page/6</t>
  </si>
  <si>
    <t>https://epaper.pudhari.news/edition/mainedition/PUDHARI_BED/page/7</t>
  </si>
  <si>
    <t>https://epaper.pudhari.news/edition/mainedition/PUDHARI_BED/page/8</t>
  </si>
  <si>
    <t>https://epaper.pudhari.news/edition/mainedition/PUDHARI_BED/page/9</t>
  </si>
  <si>
    <t>https://epaper.pudhari.news/edition/mainedition/PUDHARI_BED/page/10</t>
  </si>
  <si>
    <t>https://epaper.pudhari.news/edition/mainedition/PUDHARI_BED/page/11</t>
  </si>
  <si>
    <t>https://epaper.pudhari.news/edition/mainedition/PUDHARI_BED/page/12</t>
  </si>
  <si>
    <t>https://epaper.pudhari.news/edition/mainedition/PUDHARI_BED/page/13</t>
  </si>
  <si>
    <t>https://epaper.pudhari.news/edition/mainedition/PUDHARI_BED/page/14</t>
  </si>
  <si>
    <t>https://epaper.pudhari.news/edition/mainedition/PUDHARI_BED/page/15</t>
  </si>
  <si>
    <t>https://epaper.pudhari.news/edition/mainedition/PUDHARI_BED/page/16</t>
  </si>
  <si>
    <t>https://epaper.pudhari.news/edition/mainedition/PUDHARI_PUNUS/page/1</t>
  </si>
  <si>
    <t>https://epaper.pudhari.news/edition/mainedition/PUDHARI_PUNUS/page/2</t>
  </si>
  <si>
    <t>https://epaper.pudhari.news/edition/mainedition/PUDHARI_PUNUS/page/3</t>
  </si>
  <si>
    <t>https://epaper.pudhari.news/edition/mainedition/PUDHARI_PUNUS/page/4</t>
  </si>
  <si>
    <t>https://epaper.pudhari.news/edition/mainedition/PUDHARI_PUNUS/page/5</t>
  </si>
  <si>
    <t>https://epaper.pudhari.news/edition/mainedition/PUDHARI_PUNUS/page/6</t>
  </si>
  <si>
    <t>https://epaper.pudhari.news/edition/mainedition/PUDHARI_PUNUS/page/7</t>
  </si>
  <si>
    <t>https://epaper.pudhari.news/edition/mainedition/PUDHARI_PUNUS/page/8</t>
  </si>
  <si>
    <t>https://epaper.pudhari.news/edition/mainedition/PUDHARI_PUNUS/page/9</t>
  </si>
  <si>
    <t>https://epaper.pudhari.news/edition/mainedition/PUDHARI_PUNUS/page/10</t>
  </si>
  <si>
    <t>https://epaper.pudhari.news/edition/mainedition/PUDHARI_PUNUS/page/11</t>
  </si>
  <si>
    <t>https://epaper.pudhari.news/edition/mainedition/PUDHARI_PUNUS/page/12</t>
  </si>
  <si>
    <t>https://epaper.pudhari.news/edition/mainedition/PUDHARI_PUNUS/page/13</t>
  </si>
  <si>
    <t>https://epaper.pudhari.news/edition/mainedition/PUDHARI_PUNUS/page/14</t>
  </si>
  <si>
    <t>https://epaper.pudhari.news/edition/mainedition/PUDHARI_PUNUS/page/15</t>
  </si>
  <si>
    <t>https://epaper.pudhari.news/edition/mainedition/PUDHARI_PUNUS/page/16</t>
  </si>
  <si>
    <t>https://epaper.pudhari.news/edition/mainedition/PUDHARI_PUNP/page/1</t>
  </si>
  <si>
    <t>https://epaper.pudhari.news/edition/mainedition/PUDHARI_PUNP/page/2</t>
  </si>
  <si>
    <t>https://epaper.pudhari.news/edition/mainedition/PUDHARI_PUNP/page/3</t>
  </si>
  <si>
    <t>https://epaper.pudhari.news/edition/mainedition/PUDHARI_PUNP/page/4</t>
  </si>
  <si>
    <t>https://epaper.pudhari.news/edition/mainedition/PUDHARI_PUNP/page/5</t>
  </si>
  <si>
    <t>https://epaper.pudhari.news/edition/mainedition/PUDHARI_PUNP/page/6</t>
  </si>
  <si>
    <t>https://epaper.pudhari.news/edition/mainedition/PUDHARI_PUNP/page/7</t>
  </si>
  <si>
    <t>https://epaper.pudhari.news/edition/mainedition/PUDHARI_PUNP/page/8</t>
  </si>
  <si>
    <t>https://epaper.pudhari.news/edition/mainedition/PUDHARI_PUNP/page/9</t>
  </si>
  <si>
    <t>https://epaper.pudhari.news/edition/mainedition/PUDHARI_PUNP/page/10</t>
  </si>
  <si>
    <t>https://epaper.pudhari.news/edition/mainedition/PUDHARI_PUNP/page/11</t>
  </si>
  <si>
    <t>https://epaper.pudhari.news/edition/mainedition/PUDHARI_PUNP/page/12</t>
  </si>
  <si>
    <t>https://epaper.pudhari.news/edition/mainedition/PUDHARI_PUNP/page/13</t>
  </si>
  <si>
    <t>https://epaper.pudhari.news/edition/mainedition/PUDHARI_PUNP/page/14</t>
  </si>
  <si>
    <t>https://epaper.pudhari.news/edition/mainedition/PUDHARI_PUNP/page/15</t>
  </si>
  <si>
    <t>https://epaper.pudhari.news/edition/mainedition/PUDHARI_PUNP/page/16</t>
  </si>
  <si>
    <t>https://epaper.pudhari.news/edition/mainedition/PUDHARI_PAR/page/1</t>
  </si>
  <si>
    <t>https://epaper.pudhari.news/edition/mainedition/PUDHARI_PAR/page/2</t>
  </si>
  <si>
    <t>https://epaper.pudhari.news/edition/mainedition/PUDHARI_PAR/page/3</t>
  </si>
  <si>
    <t>https://epaper.pudhari.news/edition/mainedition/PUDHARI_PAR/page/4</t>
  </si>
  <si>
    <t>https://epaper.pudhari.news/edition/mainedition/PUDHARI_PAR/page/5</t>
  </si>
  <si>
    <t>https://epaper.pudhari.news/edition/mainedition/PUDHARI_PAR/page/6</t>
  </si>
  <si>
    <t>https://epaper.pudhari.news/edition/mainedition/PUDHARI_PAR/page/7</t>
  </si>
  <si>
    <t>https://epaper.pudhari.news/edition/mainedition/PUDHARI_PAR/page/8</t>
  </si>
  <si>
    <t>https://epaper.pudhari.news/edition/mainedition/PUDHARI_PAR/page/9</t>
  </si>
  <si>
    <t>https://epaper.pudhari.news/edition/mainedition/PUDHARI_PAR/page/10</t>
  </si>
  <si>
    <t>https://epaper.pudhari.news/edition/mainedition/PUDHARI_PAR/page/11</t>
  </si>
  <si>
    <t>https://epaper.pudhari.news/edition/mainedition/PUDHARI_PAR/page/12</t>
  </si>
  <si>
    <t>https://epaper.pudhari.news/edition/mainedition/PUDHARI_PAR/page/13</t>
  </si>
  <si>
    <t>https://epaper.pudhari.news/edition/mainedition/PUDHARI_PAR/page/14</t>
  </si>
  <si>
    <t>https://epaper.pudhari.news/edition/mainedition/PUDHARI_PAR/page/15</t>
  </si>
  <si>
    <t>https://epaper.pudhari.news/edition/mainedition/PUDHARI_PAR/page/16</t>
  </si>
  <si>
    <t>https://epaper.pudhari.news/edition/mainedition/PUDHARI_NAN/page/1</t>
  </si>
  <si>
    <t>https://epaper.pudhari.news/edition/mainedition/PUDHARI_NAN/page/2</t>
  </si>
  <si>
    <t>https://epaper.pudhari.news/edition/mainedition/PUDHARI_NAN/page/3</t>
  </si>
  <si>
    <t>https://epaper.pudhari.news/edition/mainedition/PUDHARI_NAN/page/4</t>
  </si>
  <si>
    <t>https://epaper.pudhari.news/edition/mainedition/PUDHARI_NAN/page/5</t>
  </si>
  <si>
    <t>https://epaper.pudhari.news/edition/mainedition/PUDHARI_NAN/page/6</t>
  </si>
  <si>
    <t>https://epaper.pudhari.news/edition/mainedition/PUDHARI_NAN/page/7</t>
  </si>
  <si>
    <t>https://epaper.pudhari.news/edition/mainedition/PUDHARI_NAN/page/8</t>
  </si>
  <si>
    <t>https://epaper.pudhari.news/edition/mainedition/PUDHARI_NAN/page/9</t>
  </si>
  <si>
    <t>https://epaper.pudhari.news/edition/mainedition/PUDHARI_NAN/page/10</t>
  </si>
  <si>
    <t>https://epaper.pudhari.news/edition/mainedition/PUDHARI_NAN/page/11</t>
  </si>
  <si>
    <t>https://epaper.pudhari.news/edition/mainedition/PUDHARI_NAN/page/12</t>
  </si>
  <si>
    <t>https://epaper.pudhari.news/edition/mainedition/PUDHARI_NAN/page/13</t>
  </si>
  <si>
    <t>https://epaper.pudhari.news/edition/mainedition/PUDHARI_NAN/page/14</t>
  </si>
  <si>
    <t>https://epaper.pudhari.news/edition/mainedition/PUDHARI_NAN/page/15</t>
  </si>
  <si>
    <t>https://epaper.pudhari.news/edition/mainedition/PUDHARI_NAN/page/16</t>
  </si>
  <si>
    <t>https://epaper.pudhari.news/edition/mainedition/PUDHARI_LAT/page/1</t>
  </si>
  <si>
    <t>https://epaper.pudhari.news/edition/mainedition/PUDHARI_LAT/page/2</t>
  </si>
  <si>
    <t>https://epaper.pudhari.news/edition/mainedition/PUDHARI_LAT/page/3</t>
  </si>
  <si>
    <t>https://epaper.pudhari.news/edition/mainedition/PUDHARI_LAT/page/4</t>
  </si>
  <si>
    <t>https://epaper.pudhari.news/edition/mainedition/PUDHARI_LAT/page/5</t>
  </si>
  <si>
    <t>https://epaper.pudhari.news/edition/mainedition/PUDHARI_LAT/page/6</t>
  </si>
  <si>
    <t>https://epaper.pudhari.news/edition/mainedition/PUDHARI_LAT/page/7</t>
  </si>
  <si>
    <t>https://epaper.pudhari.news/edition/mainedition/PUDHARI_LAT/page/8</t>
  </si>
  <si>
    <t>https://epaper.pudhari.news/edition/mainedition/PUDHARI_LAT/page/9</t>
  </si>
  <si>
    <t>https://epaper.pudhari.news/edition/mainedition/PUDHARI_LAT/page/10</t>
  </si>
  <si>
    <t>https://epaper.pudhari.news/edition/mainedition/PUDHARI_LAT/page/11</t>
  </si>
  <si>
    <t>https://epaper.pudhari.news/edition/mainedition/PUDHARI_LAT/page/12</t>
  </si>
  <si>
    <t>https://epaper.pudhari.news/edition/mainedition/PUDHARI_LAT/page/13</t>
  </si>
  <si>
    <t>https://epaper.pudhari.news/edition/mainedition/PUDHARI_LAT/page/14</t>
  </si>
  <si>
    <t>https://epaper.pudhari.news/edition/mainedition/PUDHARI_LAT/page/15</t>
  </si>
  <si>
    <t>https://epaper.pudhari.news/edition/mainedition/PUDHARI_LAT/page/16</t>
  </si>
  <si>
    <t>https://epaper.punyanagari.in/?url=home&amp;ced=</t>
  </si>
  <si>
    <t>&amp;date=</t>
  </si>
  <si>
    <t>01/10/2026</t>
  </si>
  <si>
    <t>&amp;page=</t>
  </si>
  <si>
    <t>2026-10-03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</si>
</sst>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1"/>
    <xf numFmtId="49" fontId="0" fillId="0" borderId="0" xfId="0" applyNumberFormat="1"/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0" fontId="1" fillId="0" borderId="0" xfId="1" applyAlignment="1">
      <alignment horizontal="left"/>
    </xf>
    <xf numFmtId="0" fontId="0" fillId="0" borderId="0" xfId="0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epaper.lokmat.com/main-editions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epaper.esakal.com/smartepaper/UI/home.aspx?q=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epaper.pudhari.news/edition/maineidition/PUDHARI_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F200"/>
  <sheetViews>
    <sheetView workbookViewId="0">
      <selection sqref="A1:A1048576"/>
    </sheetView>
  </sheetViews>
  <sheetFormatPr defaultRowHeight="14.4" x14ac:dyDescent="0.3"/>
  <cols>
    <col min="4" max="4" width="11.21875" customWidth="1"/>
    <col min="6" max="6" width="63.6640625" bestFit="1" customWidth="1"/>
  </cols>
  <sheetData>
    <row r="3" spans="1:6" x14ac:dyDescent="0.3">
      <c r="A3" s="3" t="s">
        <v>23</v>
      </c>
      <c r="B3" s="3" t="s">
        <v>14</v>
      </c>
      <c r="C3" s="3" t="s">
        <v>24</v>
      </c>
      <c r="D3" s="2" t="s">
        <v>336</v>
      </c>
      <c r="E3" t="s">
        <v>1</v>
      </c>
      <c r="F3" t="str">
        <f>CONCATENATE($A$3,$B$3,$C$3,$D$3,E3)</f>
        <v>http://epaper.lokmat.com/main-editions/Mumbai%20Main/2026-10-03/01</v>
      </c>
    </row>
    <row r="4" spans="1:6" x14ac:dyDescent="0.3">
      <c r="B4" t="s">
        <v>15</v>
      </c>
      <c r="D4" s="2"/>
      <c r="E4" t="s">
        <v>2</v>
      </c>
      <c r="F4" t="str">
        <f>CONCATENATE($A$3,$B$3,$C$3,$D$3,E4)</f>
        <v>http://epaper.lokmat.com/main-editions/Mumbai%20Main/2026-10-03/02</v>
      </c>
    </row>
    <row r="5" spans="1:6" x14ac:dyDescent="0.3">
      <c r="B5" t="s">
        <v>16</v>
      </c>
      <c r="D5" s="2"/>
      <c r="E5" t="s">
        <v>3</v>
      </c>
      <c r="F5" t="str">
        <f t="shared" ref="F5:F20" si="0">CONCATENATE($A$3,$B$3,$C$3,$D$3,E5)</f>
        <v>http://epaper.lokmat.com/main-editions/Mumbai%20Main/2026-10-03/03</v>
      </c>
    </row>
    <row r="6" spans="1:6" x14ac:dyDescent="0.3">
      <c r="B6" t="s">
        <v>58</v>
      </c>
      <c r="D6" s="2"/>
      <c r="E6" t="s">
        <v>4</v>
      </c>
      <c r="F6" t="str">
        <f t="shared" si="0"/>
        <v>http://epaper.lokmat.com/main-editions/Mumbai%20Main/2026-10-03/04</v>
      </c>
    </row>
    <row r="7" spans="1:6" x14ac:dyDescent="0.3">
      <c r="B7" t="s">
        <v>17</v>
      </c>
      <c r="D7" s="2"/>
      <c r="E7" t="s">
        <v>5</v>
      </c>
      <c r="F7" t="str">
        <f t="shared" si="0"/>
        <v>http://epaper.lokmat.com/main-editions/Mumbai%20Main/2026-10-03/05</v>
      </c>
    </row>
    <row r="8" spans="1:6" x14ac:dyDescent="0.3">
      <c r="B8" t="s">
        <v>18</v>
      </c>
      <c r="D8" s="2"/>
      <c r="E8" t="s">
        <v>6</v>
      </c>
      <c r="F8" t="str">
        <f t="shared" si="0"/>
        <v>http://epaper.lokmat.com/main-editions/Mumbai%20Main/2026-10-03/06</v>
      </c>
    </row>
    <row r="9" spans="1:6" x14ac:dyDescent="0.3">
      <c r="B9" t="s">
        <v>19</v>
      </c>
      <c r="D9" s="2"/>
      <c r="E9" t="s">
        <v>0</v>
      </c>
      <c r="F9" t="str">
        <f t="shared" si="0"/>
        <v>http://epaper.lokmat.com/main-editions/Mumbai%20Main/2026-10-03/07</v>
      </c>
    </row>
    <row r="10" spans="1:6" x14ac:dyDescent="0.3">
      <c r="B10" t="s">
        <v>20</v>
      </c>
      <c r="D10" s="2"/>
      <c r="E10" t="s">
        <v>7</v>
      </c>
      <c r="F10" t="str">
        <f t="shared" si="0"/>
        <v>http://epaper.lokmat.com/main-editions/Mumbai%20Main/2026-10-03/08</v>
      </c>
    </row>
    <row r="11" spans="1:6" x14ac:dyDescent="0.3">
      <c r="B11" t="s">
        <v>21</v>
      </c>
      <c r="D11" s="2"/>
      <c r="E11" t="s">
        <v>8</v>
      </c>
      <c r="F11" t="str">
        <f t="shared" si="0"/>
        <v>http://epaper.lokmat.com/main-editions/Mumbai%20Main/2026-10-03/09</v>
      </c>
    </row>
    <row r="12" spans="1:6" x14ac:dyDescent="0.3">
      <c r="B12" t="s">
        <v>59</v>
      </c>
      <c r="D12" s="2"/>
      <c r="E12" t="s">
        <v>9</v>
      </c>
      <c r="F12" t="str">
        <f t="shared" si="0"/>
        <v>http://epaper.lokmat.com/main-editions/Mumbai%20Main/2026-10-03/10</v>
      </c>
    </row>
    <row r="13" spans="1:6" x14ac:dyDescent="0.3">
      <c r="B13" t="s">
        <v>22</v>
      </c>
      <c r="D13" s="2"/>
      <c r="E13" t="s">
        <v>10</v>
      </c>
      <c r="F13" t="str">
        <f t="shared" si="0"/>
        <v>http://epaper.lokmat.com/main-editions/Mumbai%20Main/2026-10-03/11</v>
      </c>
    </row>
    <row r="14" spans="1:6" x14ac:dyDescent="0.3">
      <c r="D14" s="2"/>
      <c r="E14" t="s">
        <v>11</v>
      </c>
      <c r="F14" t="str">
        <f t="shared" si="0"/>
        <v>http://epaper.lokmat.com/main-editions/Mumbai%20Main/2026-10-03/12</v>
      </c>
    </row>
    <row r="15" spans="1:6" x14ac:dyDescent="0.3">
      <c r="D15" s="2"/>
      <c r="E15" t="s">
        <v>12</v>
      </c>
      <c r="F15" t="str">
        <f t="shared" si="0"/>
        <v>http://epaper.lokmat.com/main-editions/Mumbai%20Main/2026-10-03/13</v>
      </c>
    </row>
    <row r="16" spans="1:6" x14ac:dyDescent="0.3">
      <c r="D16" s="2"/>
      <c r="E16" t="s">
        <v>13</v>
      </c>
      <c r="F16" t="str">
        <f t="shared" si="0"/>
        <v>http://epaper.lokmat.com/main-editions/Mumbai%20Main/2026-10-03/14</v>
      </c>
    </row>
    <row r="17" spans="5:6" x14ac:dyDescent="0.3">
      <c r="E17" t="s">
        <v>54</v>
      </c>
      <c r="F17" t="str">
        <f t="shared" si="0"/>
        <v>http://epaper.lokmat.com/main-editions/Mumbai%20Main/2026-10-03/15</v>
      </c>
    </row>
    <row r="18" spans="5:6" x14ac:dyDescent="0.3">
      <c r="E18" t="s">
        <v>55</v>
      </c>
      <c r="F18" t="str">
        <f t="shared" si="0"/>
        <v>http://epaper.lokmat.com/main-editions/Mumbai%20Main/2026-10-03/16</v>
      </c>
    </row>
    <row r="19" spans="5:6" x14ac:dyDescent="0.3">
      <c r="E19" t="s">
        <v>56</v>
      </c>
      <c r="F19" t="str">
        <f t="shared" si="0"/>
        <v>http://epaper.lokmat.com/main-editions/Mumbai%20Main/2026-10-03/17</v>
      </c>
    </row>
    <row r="20" spans="5:6" x14ac:dyDescent="0.3">
      <c r="E20" t="s">
        <v>57</v>
      </c>
      <c r="F20" t="str">
        <f t="shared" si="0"/>
        <v>http://epaper.lokmat.com/main-editions/Mumbai%20Main/2026-10-03/18</v>
      </c>
    </row>
    <row r="21" spans="5:6" x14ac:dyDescent="0.3">
      <c r="F21" t="str">
        <f t="shared" ref="F21:F38" si="1">CONCATENATE($A$3,$B$4,$C$3,$D$3,E3)</f>
        <v>http://epaper.lokmat.com/main-editions/Pune%20Main/2026-10-03/01</v>
      </c>
    </row>
    <row r="22" spans="5:6" x14ac:dyDescent="0.3">
      <c r="F22" t="str">
        <f t="shared" si="1"/>
        <v>http://epaper.lokmat.com/main-editions/Pune%20Main/2026-10-03/02</v>
      </c>
    </row>
    <row r="23" spans="5:6" x14ac:dyDescent="0.3">
      <c r="F23" t="str">
        <f t="shared" si="1"/>
        <v>http://epaper.lokmat.com/main-editions/Pune%20Main/2026-10-03/03</v>
      </c>
    </row>
    <row r="24" spans="5:6" x14ac:dyDescent="0.3">
      <c r="F24" t="str">
        <f t="shared" si="1"/>
        <v>http://epaper.lokmat.com/main-editions/Pune%20Main/2026-10-03/04</v>
      </c>
    </row>
    <row r="25" spans="5:6" x14ac:dyDescent="0.3">
      <c r="F25" t="str">
        <f t="shared" si="1"/>
        <v>http://epaper.lokmat.com/main-editions/Pune%20Main/2026-10-03/05</v>
      </c>
    </row>
    <row r="26" spans="5:6" x14ac:dyDescent="0.3">
      <c r="F26" t="str">
        <f t="shared" si="1"/>
        <v>http://epaper.lokmat.com/main-editions/Pune%20Main/2026-10-03/06</v>
      </c>
    </row>
    <row r="27" spans="5:6" x14ac:dyDescent="0.3">
      <c r="F27" t="str">
        <f t="shared" si="1"/>
        <v>http://epaper.lokmat.com/main-editions/Pune%20Main/2026-10-03/07</v>
      </c>
    </row>
    <row r="28" spans="5:6" x14ac:dyDescent="0.3">
      <c r="F28" t="str">
        <f t="shared" si="1"/>
        <v>http://epaper.lokmat.com/main-editions/Pune%20Main/2026-10-03/08</v>
      </c>
    </row>
    <row r="29" spans="5:6" x14ac:dyDescent="0.3">
      <c r="F29" t="str">
        <f t="shared" si="1"/>
        <v>http://epaper.lokmat.com/main-editions/Pune%20Main/2026-10-03/09</v>
      </c>
    </row>
    <row r="30" spans="5:6" x14ac:dyDescent="0.3">
      <c r="F30" t="str">
        <f t="shared" si="1"/>
        <v>http://epaper.lokmat.com/main-editions/Pune%20Main/2026-10-03/10</v>
      </c>
    </row>
    <row r="31" spans="5:6" x14ac:dyDescent="0.3">
      <c r="F31" t="str">
        <f t="shared" si="1"/>
        <v>http://epaper.lokmat.com/main-editions/Pune%20Main/2026-10-03/11</v>
      </c>
    </row>
    <row r="32" spans="5:6" x14ac:dyDescent="0.3">
      <c r="F32" t="str">
        <f t="shared" si="1"/>
        <v>http://epaper.lokmat.com/main-editions/Pune%20Main/2026-10-03/12</v>
      </c>
    </row>
    <row r="33" spans="6:6" x14ac:dyDescent="0.3">
      <c r="F33" t="str">
        <f t="shared" si="1"/>
        <v>http://epaper.lokmat.com/main-editions/Pune%20Main/2026-10-03/13</v>
      </c>
    </row>
    <row r="34" spans="6:6" x14ac:dyDescent="0.3">
      <c r="F34" t="str">
        <f t="shared" si="1"/>
        <v>http://epaper.lokmat.com/main-editions/Pune%20Main/2026-10-03/14</v>
      </c>
    </row>
    <row r="35" spans="6:6" x14ac:dyDescent="0.3">
      <c r="F35" t="str">
        <f t="shared" si="1"/>
        <v>http://epaper.lokmat.com/main-editions/Pune%20Main/2026-10-03/15</v>
      </c>
    </row>
    <row r="36" spans="6:6" x14ac:dyDescent="0.3">
      <c r="F36" t="str">
        <f t="shared" si="1"/>
        <v>http://epaper.lokmat.com/main-editions/Pune%20Main/2026-10-03/16</v>
      </c>
    </row>
    <row r="37" spans="6:6" x14ac:dyDescent="0.3">
      <c r="F37" t="str">
        <f t="shared" si="1"/>
        <v>http://epaper.lokmat.com/main-editions/Pune%20Main/2026-10-03/17</v>
      </c>
    </row>
    <row r="38" spans="6:6" x14ac:dyDescent="0.3">
      <c r="F38" t="str">
        <f t="shared" si="1"/>
        <v>http://epaper.lokmat.com/main-editions/Pune%20Main/2026-10-03/18</v>
      </c>
    </row>
    <row r="39" spans="6:6" x14ac:dyDescent="0.3">
      <c r="F39" t="str">
        <f t="shared" ref="F39:F56" si="2">CONCATENATE($A$3,$B$5,$C$3,$D$3,E3)</f>
        <v>http://epaper.lokmat.com/main-editions/Nagpur%20Main/2026-10-03/01</v>
      </c>
    </row>
    <row r="40" spans="6:6" x14ac:dyDescent="0.3">
      <c r="F40" t="str">
        <f t="shared" si="2"/>
        <v>http://epaper.lokmat.com/main-editions/Nagpur%20Main/2026-10-03/02</v>
      </c>
    </row>
    <row r="41" spans="6:6" x14ac:dyDescent="0.3">
      <c r="F41" t="str">
        <f t="shared" si="2"/>
        <v>http://epaper.lokmat.com/main-editions/Nagpur%20Main/2026-10-03/03</v>
      </c>
    </row>
    <row r="42" spans="6:6" x14ac:dyDescent="0.3">
      <c r="F42" t="str">
        <f t="shared" si="2"/>
        <v>http://epaper.lokmat.com/main-editions/Nagpur%20Main/2026-10-03/04</v>
      </c>
    </row>
    <row r="43" spans="6:6" x14ac:dyDescent="0.3">
      <c r="F43" t="str">
        <f t="shared" si="2"/>
        <v>http://epaper.lokmat.com/main-editions/Nagpur%20Main/2026-10-03/05</v>
      </c>
    </row>
    <row r="44" spans="6:6" x14ac:dyDescent="0.3">
      <c r="F44" t="str">
        <f t="shared" si="2"/>
        <v>http://epaper.lokmat.com/main-editions/Nagpur%20Main/2026-10-03/06</v>
      </c>
    </row>
    <row r="45" spans="6:6" x14ac:dyDescent="0.3">
      <c r="F45" t="str">
        <f t="shared" si="2"/>
        <v>http://epaper.lokmat.com/main-editions/Nagpur%20Main/2026-10-03/07</v>
      </c>
    </row>
    <row r="46" spans="6:6" x14ac:dyDescent="0.3">
      <c r="F46" t="str">
        <f t="shared" si="2"/>
        <v>http://epaper.lokmat.com/main-editions/Nagpur%20Main/2026-10-03/08</v>
      </c>
    </row>
    <row r="47" spans="6:6" x14ac:dyDescent="0.3">
      <c r="F47" t="str">
        <f t="shared" si="2"/>
        <v>http://epaper.lokmat.com/main-editions/Nagpur%20Main/2026-10-03/09</v>
      </c>
    </row>
    <row r="48" spans="6:6" x14ac:dyDescent="0.3">
      <c r="F48" t="str">
        <f t="shared" si="2"/>
        <v>http://epaper.lokmat.com/main-editions/Nagpur%20Main/2026-10-03/10</v>
      </c>
    </row>
    <row r="49" spans="6:6" x14ac:dyDescent="0.3">
      <c r="F49" t="str">
        <f t="shared" si="2"/>
        <v>http://epaper.lokmat.com/main-editions/Nagpur%20Main/2026-10-03/11</v>
      </c>
    </row>
    <row r="50" spans="6:6" x14ac:dyDescent="0.3">
      <c r="F50" t="str">
        <f t="shared" si="2"/>
        <v>http://epaper.lokmat.com/main-editions/Nagpur%20Main/2026-10-03/12</v>
      </c>
    </row>
    <row r="51" spans="6:6" x14ac:dyDescent="0.3">
      <c r="F51" t="str">
        <f t="shared" si="2"/>
        <v>http://epaper.lokmat.com/main-editions/Nagpur%20Main/2026-10-03/13</v>
      </c>
    </row>
    <row r="52" spans="6:6" x14ac:dyDescent="0.3">
      <c r="F52" t="str">
        <f t="shared" si="2"/>
        <v>http://epaper.lokmat.com/main-editions/Nagpur%20Main/2026-10-03/14</v>
      </c>
    </row>
    <row r="53" spans="6:6" x14ac:dyDescent="0.3">
      <c r="F53" t="str">
        <f t="shared" si="2"/>
        <v>http://epaper.lokmat.com/main-editions/Nagpur%20Main/2026-10-03/15</v>
      </c>
    </row>
    <row r="54" spans="6:6" x14ac:dyDescent="0.3">
      <c r="F54" t="str">
        <f t="shared" si="2"/>
        <v>http://epaper.lokmat.com/main-editions/Nagpur%20Main/2026-10-03/16</v>
      </c>
    </row>
    <row r="55" spans="6:6" x14ac:dyDescent="0.3">
      <c r="F55" t="str">
        <f t="shared" si="2"/>
        <v>http://epaper.lokmat.com/main-editions/Nagpur%20Main/2026-10-03/17</v>
      </c>
    </row>
    <row r="56" spans="6:6" x14ac:dyDescent="0.3">
      <c r="F56" t="str">
        <f t="shared" si="2"/>
        <v>http://epaper.lokmat.com/main-editions/Nagpur%20Main/2026-10-03/18</v>
      </c>
    </row>
    <row r="57" spans="6:6" x14ac:dyDescent="0.3">
      <c r="F57" t="str">
        <f t="shared" ref="F57:F74" si="3">CONCATENATE($A$3,$B$6,$C$3,$D$3,E3)</f>
        <v>http://epaper.lokmat.com/main-editions/Chhatrapati%20Sambhajinagar%20Main/2026-10-03/01</v>
      </c>
    </row>
    <row r="58" spans="6:6" x14ac:dyDescent="0.3">
      <c r="F58" t="str">
        <f t="shared" si="3"/>
        <v>http://epaper.lokmat.com/main-editions/Chhatrapati%20Sambhajinagar%20Main/2026-10-03/02</v>
      </c>
    </row>
    <row r="59" spans="6:6" x14ac:dyDescent="0.3">
      <c r="F59" t="str">
        <f t="shared" si="3"/>
        <v>http://epaper.lokmat.com/main-editions/Chhatrapati%20Sambhajinagar%20Main/2026-10-03/03</v>
      </c>
    </row>
    <row r="60" spans="6:6" x14ac:dyDescent="0.3">
      <c r="F60" t="str">
        <f t="shared" si="3"/>
        <v>http://epaper.lokmat.com/main-editions/Chhatrapati%20Sambhajinagar%20Main/2026-10-03/04</v>
      </c>
    </row>
    <row r="61" spans="6:6" x14ac:dyDescent="0.3">
      <c r="F61" t="str">
        <f t="shared" si="3"/>
        <v>http://epaper.lokmat.com/main-editions/Chhatrapati%20Sambhajinagar%20Main/2026-10-03/05</v>
      </c>
    </row>
    <row r="62" spans="6:6" x14ac:dyDescent="0.3">
      <c r="F62" t="str">
        <f t="shared" si="3"/>
        <v>http://epaper.lokmat.com/main-editions/Chhatrapati%20Sambhajinagar%20Main/2026-10-03/06</v>
      </c>
    </row>
    <row r="63" spans="6:6" x14ac:dyDescent="0.3">
      <c r="F63" t="str">
        <f t="shared" si="3"/>
        <v>http://epaper.lokmat.com/main-editions/Chhatrapati%20Sambhajinagar%20Main/2026-10-03/07</v>
      </c>
    </row>
    <row r="64" spans="6:6" x14ac:dyDescent="0.3">
      <c r="F64" t="str">
        <f t="shared" si="3"/>
        <v>http://epaper.lokmat.com/main-editions/Chhatrapati%20Sambhajinagar%20Main/2026-10-03/08</v>
      </c>
    </row>
    <row r="65" spans="6:6" x14ac:dyDescent="0.3">
      <c r="F65" t="str">
        <f t="shared" si="3"/>
        <v>http://epaper.lokmat.com/main-editions/Chhatrapati%20Sambhajinagar%20Main/2026-10-03/09</v>
      </c>
    </row>
    <row r="66" spans="6:6" x14ac:dyDescent="0.3">
      <c r="F66" t="str">
        <f t="shared" si="3"/>
        <v>http://epaper.lokmat.com/main-editions/Chhatrapati%20Sambhajinagar%20Main/2026-10-03/10</v>
      </c>
    </row>
    <row r="67" spans="6:6" x14ac:dyDescent="0.3">
      <c r="F67" t="str">
        <f t="shared" si="3"/>
        <v>http://epaper.lokmat.com/main-editions/Chhatrapati%20Sambhajinagar%20Main/2026-10-03/11</v>
      </c>
    </row>
    <row r="68" spans="6:6" x14ac:dyDescent="0.3">
      <c r="F68" t="str">
        <f t="shared" si="3"/>
        <v>http://epaper.lokmat.com/main-editions/Chhatrapati%20Sambhajinagar%20Main/2026-10-03/12</v>
      </c>
    </row>
    <row r="69" spans="6:6" x14ac:dyDescent="0.3">
      <c r="F69" t="str">
        <f t="shared" si="3"/>
        <v>http://epaper.lokmat.com/main-editions/Chhatrapati%20Sambhajinagar%20Main/2026-10-03/13</v>
      </c>
    </row>
    <row r="70" spans="6:6" x14ac:dyDescent="0.3">
      <c r="F70" t="str">
        <f t="shared" si="3"/>
        <v>http://epaper.lokmat.com/main-editions/Chhatrapati%20Sambhajinagar%20Main/2026-10-03/14</v>
      </c>
    </row>
    <row r="71" spans="6:6" x14ac:dyDescent="0.3">
      <c r="F71" t="str">
        <f t="shared" si="3"/>
        <v>http://epaper.lokmat.com/main-editions/Chhatrapati%20Sambhajinagar%20Main/2026-10-03/15</v>
      </c>
    </row>
    <row r="72" spans="6:6" x14ac:dyDescent="0.3">
      <c r="F72" t="str">
        <f t="shared" si="3"/>
        <v>http://epaper.lokmat.com/main-editions/Chhatrapati%20Sambhajinagar%20Main/2026-10-03/16</v>
      </c>
    </row>
    <row r="73" spans="6:6" x14ac:dyDescent="0.3">
      <c r="F73" t="str">
        <f t="shared" si="3"/>
        <v>http://epaper.lokmat.com/main-editions/Chhatrapati%20Sambhajinagar%20Main/2026-10-03/17</v>
      </c>
    </row>
    <row r="74" spans="6:6" x14ac:dyDescent="0.3">
      <c r="F74" t="str">
        <f t="shared" si="3"/>
        <v>http://epaper.lokmat.com/main-editions/Chhatrapati%20Sambhajinagar%20Main/2026-10-03/18</v>
      </c>
    </row>
    <row r="75" spans="6:6" x14ac:dyDescent="0.3">
      <c r="F75" t="str">
        <f t="shared" ref="F75:F92" si="4">CONCATENATE($A$3,$B$7,$C$3,$D$3,E3)</f>
        <v>http://epaper.lokmat.com/main-editions/Kolhapur%20Main/2026-10-03/01</v>
      </c>
    </row>
    <row r="76" spans="6:6" x14ac:dyDescent="0.3">
      <c r="F76" t="str">
        <f t="shared" si="4"/>
        <v>http://epaper.lokmat.com/main-editions/Kolhapur%20Main/2026-10-03/02</v>
      </c>
    </row>
    <row r="77" spans="6:6" x14ac:dyDescent="0.3">
      <c r="F77" t="str">
        <f t="shared" si="4"/>
        <v>http://epaper.lokmat.com/main-editions/Kolhapur%20Main/2026-10-03/03</v>
      </c>
    </row>
    <row r="78" spans="6:6" x14ac:dyDescent="0.3">
      <c r="F78" t="str">
        <f t="shared" si="4"/>
        <v>http://epaper.lokmat.com/main-editions/Kolhapur%20Main/2026-10-03/04</v>
      </c>
    </row>
    <row r="79" spans="6:6" x14ac:dyDescent="0.3">
      <c r="F79" t="str">
        <f t="shared" si="4"/>
        <v>http://epaper.lokmat.com/main-editions/Kolhapur%20Main/2026-10-03/05</v>
      </c>
    </row>
    <row r="80" spans="6:6" x14ac:dyDescent="0.3">
      <c r="F80" t="str">
        <f t="shared" si="4"/>
        <v>http://epaper.lokmat.com/main-editions/Kolhapur%20Main/2026-10-03/06</v>
      </c>
    </row>
    <row r="81" spans="6:6" x14ac:dyDescent="0.3">
      <c r="F81" t="str">
        <f t="shared" si="4"/>
        <v>http://epaper.lokmat.com/main-editions/Kolhapur%20Main/2026-10-03/07</v>
      </c>
    </row>
    <row r="82" spans="6:6" x14ac:dyDescent="0.3">
      <c r="F82" t="str">
        <f t="shared" si="4"/>
        <v>http://epaper.lokmat.com/main-editions/Kolhapur%20Main/2026-10-03/08</v>
      </c>
    </row>
    <row r="83" spans="6:6" x14ac:dyDescent="0.3">
      <c r="F83" t="str">
        <f t="shared" si="4"/>
        <v>http://epaper.lokmat.com/main-editions/Kolhapur%20Main/2026-10-03/09</v>
      </c>
    </row>
    <row r="84" spans="6:6" x14ac:dyDescent="0.3">
      <c r="F84" t="str">
        <f t="shared" si="4"/>
        <v>http://epaper.lokmat.com/main-editions/Kolhapur%20Main/2026-10-03/10</v>
      </c>
    </row>
    <row r="85" spans="6:6" x14ac:dyDescent="0.3">
      <c r="F85" t="str">
        <f t="shared" si="4"/>
        <v>http://epaper.lokmat.com/main-editions/Kolhapur%20Main/2026-10-03/11</v>
      </c>
    </row>
    <row r="86" spans="6:6" x14ac:dyDescent="0.3">
      <c r="F86" t="str">
        <f t="shared" si="4"/>
        <v>http://epaper.lokmat.com/main-editions/Kolhapur%20Main/2026-10-03/12</v>
      </c>
    </row>
    <row r="87" spans="6:6" x14ac:dyDescent="0.3">
      <c r="F87" t="str">
        <f t="shared" si="4"/>
        <v>http://epaper.lokmat.com/main-editions/Kolhapur%20Main/2026-10-03/13</v>
      </c>
    </row>
    <row r="88" spans="6:6" x14ac:dyDescent="0.3">
      <c r="F88" t="str">
        <f t="shared" si="4"/>
        <v>http://epaper.lokmat.com/main-editions/Kolhapur%20Main/2026-10-03/14</v>
      </c>
    </row>
    <row r="89" spans="6:6" x14ac:dyDescent="0.3">
      <c r="F89" t="str">
        <f t="shared" si="4"/>
        <v>http://epaper.lokmat.com/main-editions/Kolhapur%20Main/2026-10-03/15</v>
      </c>
    </row>
    <row r="90" spans="6:6" x14ac:dyDescent="0.3">
      <c r="F90" t="str">
        <f t="shared" si="4"/>
        <v>http://epaper.lokmat.com/main-editions/Kolhapur%20Main/2026-10-03/16</v>
      </c>
    </row>
    <row r="91" spans="6:6" x14ac:dyDescent="0.3">
      <c r="F91" t="str">
        <f t="shared" si="4"/>
        <v>http://epaper.lokmat.com/main-editions/Kolhapur%20Main/2026-10-03/17</v>
      </c>
    </row>
    <row r="92" spans="6:6" x14ac:dyDescent="0.3">
      <c r="F92" t="str">
        <f t="shared" si="4"/>
        <v>http://epaper.lokmat.com/main-editions/Kolhapur%20Main/2026-10-03/18</v>
      </c>
    </row>
    <row r="93" spans="6:6" x14ac:dyDescent="0.3">
      <c r="F93" t="str">
        <f t="shared" ref="F93:F110" si="5">CONCATENATE($A$3,$B$8,$C$3,$D$3,E3)</f>
        <v>http://epaper.lokmat.com/main-editions/Nashik%20Main/2026-10-03/01</v>
      </c>
    </row>
    <row r="94" spans="6:6" x14ac:dyDescent="0.3">
      <c r="F94" t="str">
        <f t="shared" si="5"/>
        <v>http://epaper.lokmat.com/main-editions/Nashik%20Main/2026-10-03/02</v>
      </c>
    </row>
    <row r="95" spans="6:6" x14ac:dyDescent="0.3">
      <c r="F95" t="str">
        <f t="shared" si="5"/>
        <v>http://epaper.lokmat.com/main-editions/Nashik%20Main/2026-10-03/03</v>
      </c>
    </row>
    <row r="96" spans="6:6" x14ac:dyDescent="0.3">
      <c r="F96" t="str">
        <f t="shared" si="5"/>
        <v>http://epaper.lokmat.com/main-editions/Nashik%20Main/2026-10-03/04</v>
      </c>
    </row>
    <row r="97" spans="6:6" x14ac:dyDescent="0.3">
      <c r="F97" t="str">
        <f t="shared" si="5"/>
        <v>http://epaper.lokmat.com/main-editions/Nashik%20Main/2026-10-03/05</v>
      </c>
    </row>
    <row r="98" spans="6:6" x14ac:dyDescent="0.3">
      <c r="F98" t="str">
        <f t="shared" si="5"/>
        <v>http://epaper.lokmat.com/main-editions/Nashik%20Main/2026-10-03/06</v>
      </c>
    </row>
    <row r="99" spans="6:6" x14ac:dyDescent="0.3">
      <c r="F99" t="str">
        <f t="shared" si="5"/>
        <v>http://epaper.lokmat.com/main-editions/Nashik%20Main/2026-10-03/07</v>
      </c>
    </row>
    <row r="100" spans="6:6" x14ac:dyDescent="0.3">
      <c r="F100" t="str">
        <f t="shared" si="5"/>
        <v>http://epaper.lokmat.com/main-editions/Nashik%20Main/2026-10-03/08</v>
      </c>
    </row>
    <row r="101" spans="6:6" x14ac:dyDescent="0.3">
      <c r="F101" t="str">
        <f t="shared" si="5"/>
        <v>http://epaper.lokmat.com/main-editions/Nashik%20Main/2026-10-03/09</v>
      </c>
    </row>
    <row r="102" spans="6:6" x14ac:dyDescent="0.3">
      <c r="F102" t="str">
        <f t="shared" si="5"/>
        <v>http://epaper.lokmat.com/main-editions/Nashik%20Main/2026-10-03/10</v>
      </c>
    </row>
    <row r="103" spans="6:6" x14ac:dyDescent="0.3">
      <c r="F103" t="str">
        <f t="shared" si="5"/>
        <v>http://epaper.lokmat.com/main-editions/Nashik%20Main/2026-10-03/11</v>
      </c>
    </row>
    <row r="104" spans="6:6" x14ac:dyDescent="0.3">
      <c r="F104" t="str">
        <f t="shared" si="5"/>
        <v>http://epaper.lokmat.com/main-editions/Nashik%20Main/2026-10-03/12</v>
      </c>
    </row>
    <row r="105" spans="6:6" x14ac:dyDescent="0.3">
      <c r="F105" t="str">
        <f t="shared" si="5"/>
        <v>http://epaper.lokmat.com/main-editions/Nashik%20Main/2026-10-03/13</v>
      </c>
    </row>
    <row r="106" spans="6:6" x14ac:dyDescent="0.3">
      <c r="F106" t="str">
        <f t="shared" si="5"/>
        <v>http://epaper.lokmat.com/main-editions/Nashik%20Main/2026-10-03/14</v>
      </c>
    </row>
    <row r="107" spans="6:6" x14ac:dyDescent="0.3">
      <c r="F107" t="str">
        <f t="shared" si="5"/>
        <v>http://epaper.lokmat.com/main-editions/Nashik%20Main/2026-10-03/15</v>
      </c>
    </row>
    <row r="108" spans="6:6" x14ac:dyDescent="0.3">
      <c r="F108" t="str">
        <f t="shared" si="5"/>
        <v>http://epaper.lokmat.com/main-editions/Nashik%20Main/2026-10-03/16</v>
      </c>
    </row>
    <row r="109" spans="6:6" x14ac:dyDescent="0.3">
      <c r="F109" t="str">
        <f t="shared" si="5"/>
        <v>http://epaper.lokmat.com/main-editions/Nashik%20Main/2026-10-03/17</v>
      </c>
    </row>
    <row r="110" spans="6:6" x14ac:dyDescent="0.3">
      <c r="F110" t="str">
        <f t="shared" si="5"/>
        <v>http://epaper.lokmat.com/main-editions/Nashik%20Main/2026-10-03/18</v>
      </c>
    </row>
    <row r="111" spans="6:6" x14ac:dyDescent="0.3">
      <c r="F111" t="str">
        <f t="shared" ref="F111:F128" si="6">CONCATENATE($A$3,$B$9,$C$3,$D$3,E3)</f>
        <v>http://epaper.lokmat.com/main-editions/Jalgaon%20Main/2026-10-03/01</v>
      </c>
    </row>
    <row r="112" spans="6:6" x14ac:dyDescent="0.3">
      <c r="F112" t="str">
        <f t="shared" si="6"/>
        <v>http://epaper.lokmat.com/main-editions/Jalgaon%20Main/2026-10-03/02</v>
      </c>
    </row>
    <row r="113" spans="6:6" x14ac:dyDescent="0.3">
      <c r="F113" t="str">
        <f t="shared" si="6"/>
        <v>http://epaper.lokmat.com/main-editions/Jalgaon%20Main/2026-10-03/03</v>
      </c>
    </row>
    <row r="114" spans="6:6" x14ac:dyDescent="0.3">
      <c r="F114" t="str">
        <f t="shared" si="6"/>
        <v>http://epaper.lokmat.com/main-editions/Jalgaon%20Main/2026-10-03/04</v>
      </c>
    </row>
    <row r="115" spans="6:6" x14ac:dyDescent="0.3">
      <c r="F115" t="str">
        <f t="shared" si="6"/>
        <v>http://epaper.lokmat.com/main-editions/Jalgaon%20Main/2026-10-03/05</v>
      </c>
    </row>
    <row r="116" spans="6:6" x14ac:dyDescent="0.3">
      <c r="F116" t="str">
        <f t="shared" si="6"/>
        <v>http://epaper.lokmat.com/main-editions/Jalgaon%20Main/2026-10-03/06</v>
      </c>
    </row>
    <row r="117" spans="6:6" x14ac:dyDescent="0.3">
      <c r="F117" t="str">
        <f t="shared" si="6"/>
        <v>http://epaper.lokmat.com/main-editions/Jalgaon%20Main/2026-10-03/07</v>
      </c>
    </row>
    <row r="118" spans="6:6" x14ac:dyDescent="0.3">
      <c r="F118" t="str">
        <f t="shared" si="6"/>
        <v>http://epaper.lokmat.com/main-editions/Jalgaon%20Main/2026-10-03/08</v>
      </c>
    </row>
    <row r="119" spans="6:6" x14ac:dyDescent="0.3">
      <c r="F119" t="str">
        <f t="shared" si="6"/>
        <v>http://epaper.lokmat.com/main-editions/Jalgaon%20Main/2026-10-03/09</v>
      </c>
    </row>
    <row r="120" spans="6:6" x14ac:dyDescent="0.3">
      <c r="F120" t="str">
        <f t="shared" si="6"/>
        <v>http://epaper.lokmat.com/main-editions/Jalgaon%20Main/2026-10-03/10</v>
      </c>
    </row>
    <row r="121" spans="6:6" x14ac:dyDescent="0.3">
      <c r="F121" t="str">
        <f t="shared" si="6"/>
        <v>http://epaper.lokmat.com/main-editions/Jalgaon%20Main/2026-10-03/11</v>
      </c>
    </row>
    <row r="122" spans="6:6" x14ac:dyDescent="0.3">
      <c r="F122" t="str">
        <f t="shared" si="6"/>
        <v>http://epaper.lokmat.com/main-editions/Jalgaon%20Main/2026-10-03/12</v>
      </c>
    </row>
    <row r="123" spans="6:6" x14ac:dyDescent="0.3">
      <c r="F123" t="str">
        <f t="shared" si="6"/>
        <v>http://epaper.lokmat.com/main-editions/Jalgaon%20Main/2026-10-03/13</v>
      </c>
    </row>
    <row r="124" spans="6:6" x14ac:dyDescent="0.3">
      <c r="F124" t="str">
        <f t="shared" si="6"/>
        <v>http://epaper.lokmat.com/main-editions/Jalgaon%20Main/2026-10-03/14</v>
      </c>
    </row>
    <row r="125" spans="6:6" x14ac:dyDescent="0.3">
      <c r="F125" t="str">
        <f t="shared" si="6"/>
        <v>http://epaper.lokmat.com/main-editions/Jalgaon%20Main/2026-10-03/15</v>
      </c>
    </row>
    <row r="126" spans="6:6" x14ac:dyDescent="0.3">
      <c r="F126" t="str">
        <f t="shared" si="6"/>
        <v>http://epaper.lokmat.com/main-editions/Jalgaon%20Main/2026-10-03/16</v>
      </c>
    </row>
    <row r="127" spans="6:6" x14ac:dyDescent="0.3">
      <c r="F127" t="str">
        <f t="shared" si="6"/>
        <v>http://epaper.lokmat.com/main-editions/Jalgaon%20Main/2026-10-03/17</v>
      </c>
    </row>
    <row r="128" spans="6:6" x14ac:dyDescent="0.3">
      <c r="F128" t="str">
        <f t="shared" si="6"/>
        <v>http://epaper.lokmat.com/main-editions/Jalgaon%20Main/2026-10-03/18</v>
      </c>
    </row>
    <row r="129" spans="6:6" x14ac:dyDescent="0.3">
      <c r="F129" t="str">
        <f t="shared" ref="F129:F146" si="7">CONCATENATE($A$3,$B$10,$C$3,$D$3,E3)</f>
        <v>http://epaper.lokmat.com/main-editions/Akola%20Main/2026-10-03/01</v>
      </c>
    </row>
    <row r="130" spans="6:6" x14ac:dyDescent="0.3">
      <c r="F130" t="str">
        <f t="shared" si="7"/>
        <v>http://epaper.lokmat.com/main-editions/Akola%20Main/2026-10-03/02</v>
      </c>
    </row>
    <row r="131" spans="6:6" x14ac:dyDescent="0.3">
      <c r="F131" t="str">
        <f t="shared" si="7"/>
        <v>http://epaper.lokmat.com/main-editions/Akola%20Main/2026-10-03/03</v>
      </c>
    </row>
    <row r="132" spans="6:6" x14ac:dyDescent="0.3">
      <c r="F132" t="str">
        <f t="shared" si="7"/>
        <v>http://epaper.lokmat.com/main-editions/Akola%20Main/2026-10-03/04</v>
      </c>
    </row>
    <row r="133" spans="6:6" x14ac:dyDescent="0.3">
      <c r="F133" t="str">
        <f t="shared" si="7"/>
        <v>http://epaper.lokmat.com/main-editions/Akola%20Main/2026-10-03/05</v>
      </c>
    </row>
    <row r="134" spans="6:6" x14ac:dyDescent="0.3">
      <c r="F134" t="str">
        <f t="shared" si="7"/>
        <v>http://epaper.lokmat.com/main-editions/Akola%20Main/2026-10-03/06</v>
      </c>
    </row>
    <row r="135" spans="6:6" x14ac:dyDescent="0.3">
      <c r="F135" t="str">
        <f t="shared" si="7"/>
        <v>http://epaper.lokmat.com/main-editions/Akola%20Main/2026-10-03/07</v>
      </c>
    </row>
    <row r="136" spans="6:6" x14ac:dyDescent="0.3">
      <c r="F136" t="str">
        <f t="shared" si="7"/>
        <v>http://epaper.lokmat.com/main-editions/Akola%20Main/2026-10-03/08</v>
      </c>
    </row>
    <row r="137" spans="6:6" x14ac:dyDescent="0.3">
      <c r="F137" t="str">
        <f t="shared" si="7"/>
        <v>http://epaper.lokmat.com/main-editions/Akola%20Main/2026-10-03/09</v>
      </c>
    </row>
    <row r="138" spans="6:6" x14ac:dyDescent="0.3">
      <c r="F138" t="str">
        <f t="shared" si="7"/>
        <v>http://epaper.lokmat.com/main-editions/Akola%20Main/2026-10-03/10</v>
      </c>
    </row>
    <row r="139" spans="6:6" x14ac:dyDescent="0.3">
      <c r="F139" t="str">
        <f t="shared" si="7"/>
        <v>http://epaper.lokmat.com/main-editions/Akola%20Main/2026-10-03/11</v>
      </c>
    </row>
    <row r="140" spans="6:6" x14ac:dyDescent="0.3">
      <c r="F140" t="str">
        <f t="shared" si="7"/>
        <v>http://epaper.lokmat.com/main-editions/Akola%20Main/2026-10-03/12</v>
      </c>
    </row>
    <row r="141" spans="6:6" x14ac:dyDescent="0.3">
      <c r="F141" t="str">
        <f t="shared" si="7"/>
        <v>http://epaper.lokmat.com/main-editions/Akola%20Main/2026-10-03/13</v>
      </c>
    </row>
    <row r="142" spans="6:6" x14ac:dyDescent="0.3">
      <c r="F142" t="str">
        <f t="shared" si="7"/>
        <v>http://epaper.lokmat.com/main-editions/Akola%20Main/2026-10-03/14</v>
      </c>
    </row>
    <row r="143" spans="6:6" x14ac:dyDescent="0.3">
      <c r="F143" t="str">
        <f t="shared" si="7"/>
        <v>http://epaper.lokmat.com/main-editions/Akola%20Main/2026-10-03/15</v>
      </c>
    </row>
    <row r="144" spans="6:6" x14ac:dyDescent="0.3">
      <c r="F144" t="str">
        <f t="shared" si="7"/>
        <v>http://epaper.lokmat.com/main-editions/Akola%20Main/2026-10-03/16</v>
      </c>
    </row>
    <row r="145" spans="6:6" x14ac:dyDescent="0.3">
      <c r="F145" t="str">
        <f t="shared" si="7"/>
        <v>http://epaper.lokmat.com/main-editions/Akola%20Main/2026-10-03/17</v>
      </c>
    </row>
    <row r="146" spans="6:6" x14ac:dyDescent="0.3">
      <c r="F146" t="str">
        <f t="shared" si="7"/>
        <v>http://epaper.lokmat.com/main-editions/Akola%20Main/2026-10-03/18</v>
      </c>
    </row>
    <row r="147" spans="6:6" x14ac:dyDescent="0.3">
      <c r="F147" t="str">
        <f t="shared" ref="F147:F164" si="8">CONCATENATE($A$3,$B$11,$C$3,$D$3,E3)</f>
        <v>http://epaper.lokmat.com/main-editions/Goa%20Main/2026-10-03/01</v>
      </c>
    </row>
    <row r="148" spans="6:6" x14ac:dyDescent="0.3">
      <c r="F148" t="str">
        <f t="shared" si="8"/>
        <v>http://epaper.lokmat.com/main-editions/Goa%20Main/2026-10-03/02</v>
      </c>
    </row>
    <row r="149" spans="6:6" x14ac:dyDescent="0.3">
      <c r="F149" t="str">
        <f t="shared" si="8"/>
        <v>http://epaper.lokmat.com/main-editions/Goa%20Main/2026-10-03/03</v>
      </c>
    </row>
    <row r="150" spans="6:6" x14ac:dyDescent="0.3">
      <c r="F150" t="str">
        <f t="shared" si="8"/>
        <v>http://epaper.lokmat.com/main-editions/Goa%20Main/2026-10-03/04</v>
      </c>
    </row>
    <row r="151" spans="6:6" x14ac:dyDescent="0.3">
      <c r="F151" t="str">
        <f t="shared" si="8"/>
        <v>http://epaper.lokmat.com/main-editions/Goa%20Main/2026-10-03/05</v>
      </c>
    </row>
    <row r="152" spans="6:6" x14ac:dyDescent="0.3">
      <c r="F152" t="str">
        <f t="shared" si="8"/>
        <v>http://epaper.lokmat.com/main-editions/Goa%20Main/2026-10-03/06</v>
      </c>
    </row>
    <row r="153" spans="6:6" x14ac:dyDescent="0.3">
      <c r="F153" t="str">
        <f t="shared" si="8"/>
        <v>http://epaper.lokmat.com/main-editions/Goa%20Main/2026-10-03/07</v>
      </c>
    </row>
    <row r="154" spans="6:6" x14ac:dyDescent="0.3">
      <c r="F154" t="str">
        <f t="shared" si="8"/>
        <v>http://epaper.lokmat.com/main-editions/Goa%20Main/2026-10-03/08</v>
      </c>
    </row>
    <row r="155" spans="6:6" x14ac:dyDescent="0.3">
      <c r="F155" t="str">
        <f t="shared" si="8"/>
        <v>http://epaper.lokmat.com/main-editions/Goa%20Main/2026-10-03/09</v>
      </c>
    </row>
    <row r="156" spans="6:6" x14ac:dyDescent="0.3">
      <c r="F156" t="str">
        <f t="shared" si="8"/>
        <v>http://epaper.lokmat.com/main-editions/Goa%20Main/2026-10-03/10</v>
      </c>
    </row>
    <row r="157" spans="6:6" x14ac:dyDescent="0.3">
      <c r="F157" t="str">
        <f t="shared" si="8"/>
        <v>http://epaper.lokmat.com/main-editions/Goa%20Main/2026-10-03/11</v>
      </c>
    </row>
    <row r="158" spans="6:6" x14ac:dyDescent="0.3">
      <c r="F158" t="str">
        <f t="shared" si="8"/>
        <v>http://epaper.lokmat.com/main-editions/Goa%20Main/2026-10-03/12</v>
      </c>
    </row>
    <row r="159" spans="6:6" x14ac:dyDescent="0.3">
      <c r="F159" t="str">
        <f t="shared" si="8"/>
        <v>http://epaper.lokmat.com/main-editions/Goa%20Main/2026-10-03/13</v>
      </c>
    </row>
    <row r="160" spans="6:6" x14ac:dyDescent="0.3">
      <c r="F160" t="str">
        <f t="shared" si="8"/>
        <v>http://epaper.lokmat.com/main-editions/Goa%20Main/2026-10-03/14</v>
      </c>
    </row>
    <row r="161" spans="6:6" x14ac:dyDescent="0.3">
      <c r="F161" t="str">
        <f t="shared" si="8"/>
        <v>http://epaper.lokmat.com/main-editions/Goa%20Main/2026-10-03/15</v>
      </c>
    </row>
    <row r="162" spans="6:6" x14ac:dyDescent="0.3">
      <c r="F162" t="str">
        <f t="shared" si="8"/>
        <v>http://epaper.lokmat.com/main-editions/Goa%20Main/2026-10-03/16</v>
      </c>
    </row>
    <row r="163" spans="6:6" x14ac:dyDescent="0.3">
      <c r="F163" t="str">
        <f t="shared" si="8"/>
        <v>http://epaper.lokmat.com/main-editions/Goa%20Main/2026-10-03/17</v>
      </c>
    </row>
    <row r="164" spans="6:6" x14ac:dyDescent="0.3">
      <c r="F164" t="str">
        <f t="shared" si="8"/>
        <v>http://epaper.lokmat.com/main-editions/Goa%20Main/2026-10-03/18</v>
      </c>
    </row>
    <row r="165" spans="6:6" x14ac:dyDescent="0.3">
      <c r="F165" t="str">
        <f t="shared" ref="F165:F182" si="9">CONCATENATE($A$3,$B$12,$C$3,$D$3,E3)</f>
        <v>http://epaper.lokmat.com/main-editions/Ahilyanagar%20Main/2026-10-03/01</v>
      </c>
    </row>
    <row r="166" spans="6:6" x14ac:dyDescent="0.3">
      <c r="F166" t="str">
        <f t="shared" si="9"/>
        <v>http://epaper.lokmat.com/main-editions/Ahilyanagar%20Main/2026-10-03/02</v>
      </c>
    </row>
    <row r="167" spans="6:6" x14ac:dyDescent="0.3">
      <c r="F167" t="str">
        <f t="shared" si="9"/>
        <v>http://epaper.lokmat.com/main-editions/Ahilyanagar%20Main/2026-10-03/03</v>
      </c>
    </row>
    <row r="168" spans="6:6" x14ac:dyDescent="0.3">
      <c r="F168" t="str">
        <f t="shared" si="9"/>
        <v>http://epaper.lokmat.com/main-editions/Ahilyanagar%20Main/2026-10-03/04</v>
      </c>
    </row>
    <row r="169" spans="6:6" x14ac:dyDescent="0.3">
      <c r="F169" t="str">
        <f t="shared" si="9"/>
        <v>http://epaper.lokmat.com/main-editions/Ahilyanagar%20Main/2026-10-03/05</v>
      </c>
    </row>
    <row r="170" spans="6:6" x14ac:dyDescent="0.3">
      <c r="F170" t="str">
        <f t="shared" si="9"/>
        <v>http://epaper.lokmat.com/main-editions/Ahilyanagar%20Main/2026-10-03/06</v>
      </c>
    </row>
    <row r="171" spans="6:6" x14ac:dyDescent="0.3">
      <c r="F171" t="str">
        <f t="shared" si="9"/>
        <v>http://epaper.lokmat.com/main-editions/Ahilyanagar%20Main/2026-10-03/07</v>
      </c>
    </row>
    <row r="172" spans="6:6" x14ac:dyDescent="0.3">
      <c r="F172" t="str">
        <f t="shared" si="9"/>
        <v>http://epaper.lokmat.com/main-editions/Ahilyanagar%20Main/2026-10-03/08</v>
      </c>
    </row>
    <row r="173" spans="6:6" x14ac:dyDescent="0.3">
      <c r="F173" t="str">
        <f t="shared" si="9"/>
        <v>http://epaper.lokmat.com/main-editions/Ahilyanagar%20Main/2026-10-03/09</v>
      </c>
    </row>
    <row r="174" spans="6:6" x14ac:dyDescent="0.3">
      <c r="F174" t="str">
        <f t="shared" si="9"/>
        <v>http://epaper.lokmat.com/main-editions/Ahilyanagar%20Main/2026-10-03/10</v>
      </c>
    </row>
    <row r="175" spans="6:6" x14ac:dyDescent="0.3">
      <c r="F175" t="str">
        <f t="shared" si="9"/>
        <v>http://epaper.lokmat.com/main-editions/Ahilyanagar%20Main/2026-10-03/11</v>
      </c>
    </row>
    <row r="176" spans="6:6" x14ac:dyDescent="0.3">
      <c r="F176" t="str">
        <f t="shared" si="9"/>
        <v>http://epaper.lokmat.com/main-editions/Ahilyanagar%20Main/2026-10-03/12</v>
      </c>
    </row>
    <row r="177" spans="6:6" x14ac:dyDescent="0.3">
      <c r="F177" t="str">
        <f t="shared" si="9"/>
        <v>http://epaper.lokmat.com/main-editions/Ahilyanagar%20Main/2026-10-03/13</v>
      </c>
    </row>
    <row r="178" spans="6:6" x14ac:dyDescent="0.3">
      <c r="F178" t="str">
        <f t="shared" si="9"/>
        <v>http://epaper.lokmat.com/main-editions/Ahilyanagar%20Main/2026-10-03/14</v>
      </c>
    </row>
    <row r="179" spans="6:6" x14ac:dyDescent="0.3">
      <c r="F179" t="str">
        <f t="shared" si="9"/>
        <v>http://epaper.lokmat.com/main-editions/Ahilyanagar%20Main/2026-10-03/15</v>
      </c>
    </row>
    <row r="180" spans="6:6" x14ac:dyDescent="0.3">
      <c r="F180" t="str">
        <f t="shared" si="9"/>
        <v>http://epaper.lokmat.com/main-editions/Ahilyanagar%20Main/2026-10-03/16</v>
      </c>
    </row>
    <row r="181" spans="6:6" x14ac:dyDescent="0.3">
      <c r="F181" t="str">
        <f t="shared" si="9"/>
        <v>http://epaper.lokmat.com/main-editions/Ahilyanagar%20Main/2026-10-03/17</v>
      </c>
    </row>
    <row r="182" spans="6:6" x14ac:dyDescent="0.3">
      <c r="F182" t="str">
        <f t="shared" si="9"/>
        <v>http://epaper.lokmat.com/main-editions/Ahilyanagar%20Main/2026-10-03/18</v>
      </c>
    </row>
    <row r="183" spans="6:6" x14ac:dyDescent="0.3">
      <c r="F183" t="str">
        <f t="shared" ref="F183:F200" si="10">CONCATENATE($A$3,$B$13,$C$3,$D$3,E3)</f>
        <v>http://epaper.lokmat.com/main-editions/Solapur%20Main/2026-10-03/01</v>
      </c>
    </row>
    <row r="184" spans="6:6" x14ac:dyDescent="0.3">
      <c r="F184" t="str">
        <f t="shared" si="10"/>
        <v>http://epaper.lokmat.com/main-editions/Solapur%20Main/2026-10-03/02</v>
      </c>
    </row>
    <row r="185" spans="6:6" x14ac:dyDescent="0.3">
      <c r="F185" t="str">
        <f t="shared" si="10"/>
        <v>http://epaper.lokmat.com/main-editions/Solapur%20Main/2026-10-03/03</v>
      </c>
    </row>
    <row r="186" spans="6:6" x14ac:dyDescent="0.3">
      <c r="F186" t="str">
        <f t="shared" si="10"/>
        <v>http://epaper.lokmat.com/main-editions/Solapur%20Main/2026-10-03/04</v>
      </c>
    </row>
    <row r="187" spans="6:6" x14ac:dyDescent="0.3">
      <c r="F187" t="str">
        <f t="shared" si="10"/>
        <v>http://epaper.lokmat.com/main-editions/Solapur%20Main/2026-10-03/05</v>
      </c>
    </row>
    <row r="188" spans="6:6" x14ac:dyDescent="0.3">
      <c r="F188" t="str">
        <f t="shared" si="10"/>
        <v>http://epaper.lokmat.com/main-editions/Solapur%20Main/2026-10-03/06</v>
      </c>
    </row>
    <row r="189" spans="6:6" x14ac:dyDescent="0.3">
      <c r="F189" t="str">
        <f t="shared" si="10"/>
        <v>http://epaper.lokmat.com/main-editions/Solapur%20Main/2026-10-03/07</v>
      </c>
    </row>
    <row r="190" spans="6:6" x14ac:dyDescent="0.3">
      <c r="F190" t="str">
        <f t="shared" si="10"/>
        <v>http://epaper.lokmat.com/main-editions/Solapur%20Main/2026-10-03/08</v>
      </c>
    </row>
    <row r="191" spans="6:6" x14ac:dyDescent="0.3">
      <c r="F191" t="str">
        <f t="shared" si="10"/>
        <v>http://epaper.lokmat.com/main-editions/Solapur%20Main/2026-10-03/09</v>
      </c>
    </row>
    <row r="192" spans="6:6" x14ac:dyDescent="0.3">
      <c r="F192" t="str">
        <f t="shared" si="10"/>
        <v>http://epaper.lokmat.com/main-editions/Solapur%20Main/2026-10-03/10</v>
      </c>
    </row>
    <row r="193" spans="6:6" x14ac:dyDescent="0.3">
      <c r="F193" t="str">
        <f t="shared" si="10"/>
        <v>http://epaper.lokmat.com/main-editions/Solapur%20Main/2026-10-03/11</v>
      </c>
    </row>
    <row r="194" spans="6:6" x14ac:dyDescent="0.3">
      <c r="F194" t="str">
        <f t="shared" si="10"/>
        <v>http://epaper.lokmat.com/main-editions/Solapur%20Main/2026-10-03/12</v>
      </c>
    </row>
    <row r="195" spans="6:6" x14ac:dyDescent="0.3">
      <c r="F195" t="str">
        <f t="shared" si="10"/>
        <v>http://epaper.lokmat.com/main-editions/Solapur%20Main/2026-10-03/13</v>
      </c>
    </row>
    <row r="196" spans="6:6" x14ac:dyDescent="0.3">
      <c r="F196" t="str">
        <f t="shared" si="10"/>
        <v>http://epaper.lokmat.com/main-editions/Solapur%20Main/2026-10-03/14</v>
      </c>
    </row>
    <row r="197" spans="6:6" x14ac:dyDescent="0.3">
      <c r="F197" t="str">
        <f t="shared" si="10"/>
        <v>http://epaper.lokmat.com/main-editions/Solapur%20Main/2026-10-03/15</v>
      </c>
    </row>
    <row r="198" spans="6:6" x14ac:dyDescent="0.3">
      <c r="F198" t="str">
        <f t="shared" si="10"/>
        <v>http://epaper.lokmat.com/main-editions/Solapur%20Main/2026-10-03/16</v>
      </c>
    </row>
    <row r="199" spans="6:6" x14ac:dyDescent="0.3">
      <c r="F199" t="str">
        <f t="shared" si="10"/>
        <v>http://epaper.lokmat.com/main-editions/Solapur%20Main/2026-10-03/17</v>
      </c>
    </row>
    <row r="200" spans="6:6" x14ac:dyDescent="0.3">
      <c r="F200" t="str">
        <f t="shared" si="10"/>
        <v>http://epaper.lokmat.com/main-editions/Solapur%20Main/2026-10-03/18</v>
      </c>
    </row>
  </sheetData>
  <hyperlinks>
    <hyperlink ref="A3" r:id="rId1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F196"/>
  <sheetViews>
    <sheetView workbookViewId="0">
      <selection sqref="A1:A1048576"/>
    </sheetView>
  </sheetViews>
  <sheetFormatPr defaultRowHeight="14.4" x14ac:dyDescent="0.3"/>
  <cols>
    <col min="4" max="4" width="11.21875" customWidth="1"/>
    <col min="6" max="6" width="71.33203125" customWidth="1"/>
  </cols>
  <sheetData>
    <row r="3" spans="1:6" x14ac:dyDescent="0.3">
      <c r="A3" t="s">
        <v>60</v>
      </c>
      <c r="B3" t="s">
        <v>20</v>
      </c>
      <c r="C3" t="s">
        <v>61</v>
      </c>
      <c r="D3" s="2" t="s">
        <v>53</v>
      </c>
      <c r="E3" t="s">
        <v>1</v>
      </c>
      <c r="F3" t="str">
        <f>CONCATENATE($A$3,$B$3,$C$3,$D$3,E3)</f>
        <v>https://epaper.esakal.com/smartepaper/UI/home.aspx?q=Akola/Main/2026-09-26/01</v>
      </c>
    </row>
    <row r="4" spans="1:6" x14ac:dyDescent="0.3">
      <c r="B4" t="s">
        <v>62</v>
      </c>
      <c r="D4" s="2"/>
      <c r="E4" t="s">
        <v>2</v>
      </c>
      <c r="F4" t="str">
        <f>CONCATENATE($A$3,$B$3,$C$3,$D$3,E4)</f>
        <v>https://epaper.esakal.com/smartepaper/UI/home.aspx?q=Akola/Main/2026-09-26/02</v>
      </c>
    </row>
    <row r="5" spans="1:6" x14ac:dyDescent="0.3">
      <c r="B5" t="s">
        <v>25</v>
      </c>
      <c r="D5" s="2"/>
      <c r="E5" t="s">
        <v>3</v>
      </c>
      <c r="F5" t="str">
        <f t="shared" ref="F5:F14" si="0">CONCATENATE($A$3,$B$3,$C$3,$D$3,E5)</f>
        <v>https://epaper.esakal.com/smartepaper/UI/home.aspx?q=Akola/Main/2026-09-26/03</v>
      </c>
    </row>
    <row r="6" spans="1:6" x14ac:dyDescent="0.3">
      <c r="B6" t="s">
        <v>19</v>
      </c>
      <c r="D6" s="2"/>
      <c r="E6" t="s">
        <v>4</v>
      </c>
      <c r="F6" t="str">
        <f t="shared" si="0"/>
        <v>https://epaper.esakal.com/smartepaper/UI/home.aspx?q=Akola/Main/2026-09-26/04</v>
      </c>
    </row>
    <row r="7" spans="1:6" x14ac:dyDescent="0.3">
      <c r="B7" t="s">
        <v>17</v>
      </c>
      <c r="D7" s="2"/>
      <c r="E7" t="s">
        <v>5</v>
      </c>
      <c r="F7" t="str">
        <f t="shared" si="0"/>
        <v>https://epaper.esakal.com/smartepaper/UI/home.aspx?q=Akola/Main/2026-09-26/05</v>
      </c>
    </row>
    <row r="8" spans="1:6" x14ac:dyDescent="0.3">
      <c r="B8" t="s">
        <v>14</v>
      </c>
      <c r="D8" s="2"/>
      <c r="E8" t="s">
        <v>6</v>
      </c>
      <c r="F8" t="str">
        <f t="shared" si="0"/>
        <v>https://epaper.esakal.com/smartepaper/UI/home.aspx?q=Akola/Main/2026-09-26/06</v>
      </c>
    </row>
    <row r="9" spans="1:6" x14ac:dyDescent="0.3">
      <c r="B9" t="s">
        <v>63</v>
      </c>
      <c r="D9" s="2"/>
      <c r="E9" t="s">
        <v>0</v>
      </c>
      <c r="F9" t="str">
        <f t="shared" si="0"/>
        <v>https://epaper.esakal.com/smartepaper/UI/home.aspx?q=Akola/Main/2026-09-26/07</v>
      </c>
    </row>
    <row r="10" spans="1:6" x14ac:dyDescent="0.3">
      <c r="B10" t="s">
        <v>16</v>
      </c>
      <c r="D10" s="2"/>
      <c r="E10" t="s">
        <v>7</v>
      </c>
      <c r="F10" t="str">
        <f t="shared" si="0"/>
        <v>https://epaper.esakal.com/smartepaper/UI/home.aspx?q=Akola/Main/2026-09-26/08</v>
      </c>
    </row>
    <row r="11" spans="1:6" x14ac:dyDescent="0.3">
      <c r="B11" t="s">
        <v>26</v>
      </c>
      <c r="D11" s="2"/>
      <c r="E11" t="s">
        <v>8</v>
      </c>
      <c r="F11" t="str">
        <f t="shared" si="0"/>
        <v>https://epaper.esakal.com/smartepaper/UI/home.aspx?q=Akola/Main/2026-09-26/09</v>
      </c>
    </row>
    <row r="12" spans="1:6" x14ac:dyDescent="0.3">
      <c r="B12" t="s">
        <v>18</v>
      </c>
      <c r="D12" s="2"/>
      <c r="E12" t="s">
        <v>9</v>
      </c>
      <c r="F12" t="str">
        <f t="shared" si="0"/>
        <v>https://epaper.esakal.com/smartepaper/UI/home.aspx?q=Akola/Main/2026-09-26/10</v>
      </c>
    </row>
    <row r="13" spans="1:6" x14ac:dyDescent="0.3">
      <c r="B13" t="s">
        <v>15</v>
      </c>
      <c r="D13" s="2"/>
      <c r="E13" t="s">
        <v>10</v>
      </c>
      <c r="F13" t="str">
        <f t="shared" si="0"/>
        <v>https://epaper.esakal.com/smartepaper/UI/home.aspx?q=Akola/Main/2026-09-26/11</v>
      </c>
    </row>
    <row r="14" spans="1:6" x14ac:dyDescent="0.3">
      <c r="B14" t="s">
        <v>51</v>
      </c>
      <c r="D14" s="2"/>
      <c r="E14" t="s">
        <v>11</v>
      </c>
      <c r="F14" t="str">
        <f t="shared" si="0"/>
        <v>https://epaper.esakal.com/smartepaper/UI/home.aspx?q=Akola/Main/2026-09-26/12</v>
      </c>
    </row>
    <row r="15" spans="1:6" x14ac:dyDescent="0.3">
      <c r="B15" t="s">
        <v>50</v>
      </c>
      <c r="D15" s="2"/>
    </row>
    <row r="16" spans="1:6" x14ac:dyDescent="0.3">
      <c r="B16" t="s">
        <v>52</v>
      </c>
      <c r="D16" s="2"/>
      <c r="F16" t="str">
        <f>CONCATENATE($A$3,$B$4,$C$3,$D$3,E3)</f>
        <v>https://epaper.esakal.com/smartepaper/UI/home.aspx?q=Chh_Sambhajinagar/Main/2026-09-26/01</v>
      </c>
    </row>
    <row r="17" spans="2:6" x14ac:dyDescent="0.3">
      <c r="B17" t="s">
        <v>22</v>
      </c>
      <c r="F17" t="str">
        <f t="shared" ref="F17:F26" si="1">CONCATENATE($A$3,$B$4,$C$3,$D$3,E4)</f>
        <v>https://epaper.esakal.com/smartepaper/UI/home.aspx?q=Chh_Sambhajinagar/Main/2026-09-26/02</v>
      </c>
    </row>
    <row r="18" spans="2:6" x14ac:dyDescent="0.3">
      <c r="F18" t="str">
        <f t="shared" si="1"/>
        <v>https://epaper.esakal.com/smartepaper/UI/home.aspx?q=Chh_Sambhajinagar/Main/2026-09-26/03</v>
      </c>
    </row>
    <row r="19" spans="2:6" x14ac:dyDescent="0.3">
      <c r="F19" t="str">
        <f t="shared" si="1"/>
        <v>https://epaper.esakal.com/smartepaper/UI/home.aspx?q=Chh_Sambhajinagar/Main/2026-09-26/04</v>
      </c>
    </row>
    <row r="20" spans="2:6" x14ac:dyDescent="0.3">
      <c r="F20" t="str">
        <f t="shared" si="1"/>
        <v>https://epaper.esakal.com/smartepaper/UI/home.aspx?q=Chh_Sambhajinagar/Main/2026-09-26/05</v>
      </c>
    </row>
    <row r="21" spans="2:6" x14ac:dyDescent="0.3">
      <c r="F21" t="str">
        <f t="shared" si="1"/>
        <v>https://epaper.esakal.com/smartepaper/UI/home.aspx?q=Chh_Sambhajinagar/Main/2026-09-26/06</v>
      </c>
    </row>
    <row r="22" spans="2:6" x14ac:dyDescent="0.3">
      <c r="F22" t="str">
        <f t="shared" si="1"/>
        <v>https://epaper.esakal.com/smartepaper/UI/home.aspx?q=Chh_Sambhajinagar/Main/2026-09-26/07</v>
      </c>
    </row>
    <row r="23" spans="2:6" x14ac:dyDescent="0.3">
      <c r="F23" t="str">
        <f t="shared" si="1"/>
        <v>https://epaper.esakal.com/smartepaper/UI/home.aspx?q=Chh_Sambhajinagar/Main/2026-09-26/08</v>
      </c>
    </row>
    <row r="24" spans="2:6" x14ac:dyDescent="0.3">
      <c r="F24" t="str">
        <f t="shared" si="1"/>
        <v>https://epaper.esakal.com/smartepaper/UI/home.aspx?q=Chh_Sambhajinagar/Main/2026-09-26/09</v>
      </c>
    </row>
    <row r="25" spans="2:6" x14ac:dyDescent="0.3">
      <c r="F25" t="str">
        <f t="shared" si="1"/>
        <v>https://epaper.esakal.com/smartepaper/UI/home.aspx?q=Chh_Sambhajinagar/Main/2026-09-26/10</v>
      </c>
    </row>
    <row r="26" spans="2:6" x14ac:dyDescent="0.3">
      <c r="F26" t="str">
        <f t="shared" si="1"/>
        <v>https://epaper.esakal.com/smartepaper/UI/home.aspx?q=Chh_Sambhajinagar/Main/2026-09-26/11</v>
      </c>
    </row>
    <row r="27" spans="2:6" x14ac:dyDescent="0.3">
      <c r="F27" t="str">
        <f>CONCATENATE($A$3,$B$4,$C$3,$D$3,E14)</f>
        <v>https://epaper.esakal.com/smartepaper/UI/home.aspx?q=Chh_Sambhajinagar/Main/2026-09-26/12</v>
      </c>
    </row>
    <row r="29" spans="2:6" x14ac:dyDescent="0.3">
      <c r="F29" t="str">
        <f>CONCATENATE($A$3,$B$5,$C$3,$D$3,E3)</f>
        <v>https://epaper.esakal.com/smartepaper/UI/home.aspx?q=Dhule/Main/2026-09-26/01</v>
      </c>
    </row>
    <row r="30" spans="2:6" x14ac:dyDescent="0.3">
      <c r="F30" t="str">
        <f t="shared" ref="F30:F40" si="2">CONCATENATE($A$3,$B$5,$C$3,$D$3,E4)</f>
        <v>https://epaper.esakal.com/smartepaper/UI/home.aspx?q=Dhule/Main/2026-09-26/02</v>
      </c>
    </row>
    <row r="31" spans="2:6" x14ac:dyDescent="0.3">
      <c r="F31" t="str">
        <f t="shared" si="2"/>
        <v>https://epaper.esakal.com/smartepaper/UI/home.aspx?q=Dhule/Main/2026-09-26/03</v>
      </c>
    </row>
    <row r="32" spans="2:6" x14ac:dyDescent="0.3">
      <c r="F32" t="str">
        <f t="shared" si="2"/>
        <v>https://epaper.esakal.com/smartepaper/UI/home.aspx?q=Dhule/Main/2026-09-26/04</v>
      </c>
    </row>
    <row r="33" spans="6:6" x14ac:dyDescent="0.3">
      <c r="F33" t="str">
        <f t="shared" si="2"/>
        <v>https://epaper.esakal.com/smartepaper/UI/home.aspx?q=Dhule/Main/2026-09-26/05</v>
      </c>
    </row>
    <row r="34" spans="6:6" x14ac:dyDescent="0.3">
      <c r="F34" t="str">
        <f t="shared" si="2"/>
        <v>https://epaper.esakal.com/smartepaper/UI/home.aspx?q=Dhule/Main/2026-09-26/06</v>
      </c>
    </row>
    <row r="35" spans="6:6" x14ac:dyDescent="0.3">
      <c r="F35" t="str">
        <f t="shared" si="2"/>
        <v>https://epaper.esakal.com/smartepaper/UI/home.aspx?q=Dhule/Main/2026-09-26/07</v>
      </c>
    </row>
    <row r="36" spans="6:6" x14ac:dyDescent="0.3">
      <c r="F36" t="str">
        <f t="shared" si="2"/>
        <v>https://epaper.esakal.com/smartepaper/UI/home.aspx?q=Dhule/Main/2026-09-26/08</v>
      </c>
    </row>
    <row r="37" spans="6:6" x14ac:dyDescent="0.3">
      <c r="F37" t="str">
        <f t="shared" si="2"/>
        <v>https://epaper.esakal.com/smartepaper/UI/home.aspx?q=Dhule/Main/2026-09-26/09</v>
      </c>
    </row>
    <row r="38" spans="6:6" x14ac:dyDescent="0.3">
      <c r="F38" t="str">
        <f t="shared" si="2"/>
        <v>https://epaper.esakal.com/smartepaper/UI/home.aspx?q=Dhule/Main/2026-09-26/10</v>
      </c>
    </row>
    <row r="39" spans="6:6" x14ac:dyDescent="0.3">
      <c r="F39" t="str">
        <f t="shared" si="2"/>
        <v>https://epaper.esakal.com/smartepaper/UI/home.aspx?q=Dhule/Main/2026-09-26/11</v>
      </c>
    </row>
    <row r="40" spans="6:6" x14ac:dyDescent="0.3">
      <c r="F40" t="str">
        <f t="shared" si="2"/>
        <v>https://epaper.esakal.com/smartepaper/UI/home.aspx?q=Dhule/Main/2026-09-26/12</v>
      </c>
    </row>
    <row r="42" spans="6:6" x14ac:dyDescent="0.3">
      <c r="F42" t="str">
        <f>CONCATENATE($A$3,$B$6,$C$3,$D$3,E3)</f>
        <v>https://epaper.esakal.com/smartepaper/UI/home.aspx?q=Jalgaon/Main/2026-09-26/01</v>
      </c>
    </row>
    <row r="43" spans="6:6" x14ac:dyDescent="0.3">
      <c r="F43" t="str">
        <f t="shared" ref="F43:F53" si="3">CONCATENATE($A$3,$B$6,$C$3,$D$3,E4)</f>
        <v>https://epaper.esakal.com/smartepaper/UI/home.aspx?q=Jalgaon/Main/2026-09-26/02</v>
      </c>
    </row>
    <row r="44" spans="6:6" x14ac:dyDescent="0.3">
      <c r="F44" t="str">
        <f t="shared" si="3"/>
        <v>https://epaper.esakal.com/smartepaper/UI/home.aspx?q=Jalgaon/Main/2026-09-26/03</v>
      </c>
    </row>
    <row r="45" spans="6:6" x14ac:dyDescent="0.3">
      <c r="F45" t="str">
        <f t="shared" si="3"/>
        <v>https://epaper.esakal.com/smartepaper/UI/home.aspx?q=Jalgaon/Main/2026-09-26/04</v>
      </c>
    </row>
    <row r="46" spans="6:6" x14ac:dyDescent="0.3">
      <c r="F46" t="str">
        <f t="shared" si="3"/>
        <v>https://epaper.esakal.com/smartepaper/UI/home.aspx?q=Jalgaon/Main/2026-09-26/05</v>
      </c>
    </row>
    <row r="47" spans="6:6" x14ac:dyDescent="0.3">
      <c r="F47" t="str">
        <f t="shared" si="3"/>
        <v>https://epaper.esakal.com/smartepaper/UI/home.aspx?q=Jalgaon/Main/2026-09-26/06</v>
      </c>
    </row>
    <row r="48" spans="6:6" x14ac:dyDescent="0.3">
      <c r="F48" t="str">
        <f t="shared" si="3"/>
        <v>https://epaper.esakal.com/smartepaper/UI/home.aspx?q=Jalgaon/Main/2026-09-26/07</v>
      </c>
    </row>
    <row r="49" spans="6:6" x14ac:dyDescent="0.3">
      <c r="F49" t="str">
        <f t="shared" si="3"/>
        <v>https://epaper.esakal.com/smartepaper/UI/home.aspx?q=Jalgaon/Main/2026-09-26/08</v>
      </c>
    </row>
    <row r="50" spans="6:6" x14ac:dyDescent="0.3">
      <c r="F50" t="str">
        <f t="shared" si="3"/>
        <v>https://epaper.esakal.com/smartepaper/UI/home.aspx?q=Jalgaon/Main/2026-09-26/09</v>
      </c>
    </row>
    <row r="51" spans="6:6" x14ac:dyDescent="0.3">
      <c r="F51" t="str">
        <f t="shared" si="3"/>
        <v>https://epaper.esakal.com/smartepaper/UI/home.aspx?q=Jalgaon/Main/2026-09-26/10</v>
      </c>
    </row>
    <row r="52" spans="6:6" x14ac:dyDescent="0.3">
      <c r="F52" t="str">
        <f t="shared" si="3"/>
        <v>https://epaper.esakal.com/smartepaper/UI/home.aspx?q=Jalgaon/Main/2026-09-26/11</v>
      </c>
    </row>
    <row r="53" spans="6:6" x14ac:dyDescent="0.3">
      <c r="F53" t="str">
        <f t="shared" si="3"/>
        <v>https://epaper.esakal.com/smartepaper/UI/home.aspx?q=Jalgaon/Main/2026-09-26/12</v>
      </c>
    </row>
    <row r="55" spans="6:6" x14ac:dyDescent="0.3">
      <c r="F55" t="str">
        <f>CONCATENATE($A$3,$B$7,$C$3,$D$3,E3)</f>
        <v>https://epaper.esakal.com/smartepaper/UI/home.aspx?q=Kolhapur/Main/2026-09-26/01</v>
      </c>
    </row>
    <row r="56" spans="6:6" x14ac:dyDescent="0.3">
      <c r="F56" t="str">
        <f t="shared" ref="F56:F66" si="4">CONCATENATE($A$3,$B$7,$C$3,$D$3,E4)</f>
        <v>https://epaper.esakal.com/smartepaper/UI/home.aspx?q=Kolhapur/Main/2026-09-26/02</v>
      </c>
    </row>
    <row r="57" spans="6:6" x14ac:dyDescent="0.3">
      <c r="F57" t="str">
        <f t="shared" si="4"/>
        <v>https://epaper.esakal.com/smartepaper/UI/home.aspx?q=Kolhapur/Main/2026-09-26/03</v>
      </c>
    </row>
    <row r="58" spans="6:6" x14ac:dyDescent="0.3">
      <c r="F58" t="str">
        <f t="shared" si="4"/>
        <v>https://epaper.esakal.com/smartepaper/UI/home.aspx?q=Kolhapur/Main/2026-09-26/04</v>
      </c>
    </row>
    <row r="59" spans="6:6" x14ac:dyDescent="0.3">
      <c r="F59" t="str">
        <f t="shared" si="4"/>
        <v>https://epaper.esakal.com/smartepaper/UI/home.aspx?q=Kolhapur/Main/2026-09-26/05</v>
      </c>
    </row>
    <row r="60" spans="6:6" x14ac:dyDescent="0.3">
      <c r="F60" t="str">
        <f t="shared" si="4"/>
        <v>https://epaper.esakal.com/smartepaper/UI/home.aspx?q=Kolhapur/Main/2026-09-26/06</v>
      </c>
    </row>
    <row r="61" spans="6:6" x14ac:dyDescent="0.3">
      <c r="F61" t="str">
        <f t="shared" si="4"/>
        <v>https://epaper.esakal.com/smartepaper/UI/home.aspx?q=Kolhapur/Main/2026-09-26/07</v>
      </c>
    </row>
    <row r="62" spans="6:6" x14ac:dyDescent="0.3">
      <c r="F62" t="str">
        <f t="shared" si="4"/>
        <v>https://epaper.esakal.com/smartepaper/UI/home.aspx?q=Kolhapur/Main/2026-09-26/08</v>
      </c>
    </row>
    <row r="63" spans="6:6" x14ac:dyDescent="0.3">
      <c r="F63" t="str">
        <f t="shared" si="4"/>
        <v>https://epaper.esakal.com/smartepaper/UI/home.aspx?q=Kolhapur/Main/2026-09-26/09</v>
      </c>
    </row>
    <row r="64" spans="6:6" x14ac:dyDescent="0.3">
      <c r="F64" t="str">
        <f t="shared" si="4"/>
        <v>https://epaper.esakal.com/smartepaper/UI/home.aspx?q=Kolhapur/Main/2026-09-26/10</v>
      </c>
    </row>
    <row r="65" spans="6:6" x14ac:dyDescent="0.3">
      <c r="F65" t="str">
        <f>CONCATENATE($A$3,$B$7,$C$3,$D$3,E13)</f>
        <v>https://epaper.esakal.com/smartepaper/UI/home.aspx?q=Kolhapur/Main/2026-09-26/11</v>
      </c>
    </row>
    <row r="66" spans="6:6" x14ac:dyDescent="0.3">
      <c r="F66" t="str">
        <f t="shared" si="4"/>
        <v>https://epaper.esakal.com/smartepaper/UI/home.aspx?q=Kolhapur/Main/2026-09-26/12</v>
      </c>
    </row>
    <row r="68" spans="6:6" x14ac:dyDescent="0.3">
      <c r="F68" t="str">
        <f>CONCATENATE($A$3,$B$8,$C$3,$D$3,E3)</f>
        <v>https://epaper.esakal.com/smartepaper/UI/home.aspx?q=Mumbai/Main/2026-09-26/01</v>
      </c>
    </row>
    <row r="69" spans="6:6" x14ac:dyDescent="0.3">
      <c r="F69" t="str">
        <f t="shared" ref="F69:F77" si="5">CONCATENATE($A$3,$B$8,$C$3,$D$3,E4)</f>
        <v>https://epaper.esakal.com/smartepaper/UI/home.aspx?q=Mumbai/Main/2026-09-26/02</v>
      </c>
    </row>
    <row r="70" spans="6:6" x14ac:dyDescent="0.3">
      <c r="F70" t="str">
        <f t="shared" si="5"/>
        <v>https://epaper.esakal.com/smartepaper/UI/home.aspx?q=Mumbai/Main/2026-09-26/03</v>
      </c>
    </row>
    <row r="71" spans="6:6" x14ac:dyDescent="0.3">
      <c r="F71" t="str">
        <f t="shared" si="5"/>
        <v>https://epaper.esakal.com/smartepaper/UI/home.aspx?q=Mumbai/Main/2026-09-26/04</v>
      </c>
    </row>
    <row r="72" spans="6:6" x14ac:dyDescent="0.3">
      <c r="F72" t="str">
        <f t="shared" si="5"/>
        <v>https://epaper.esakal.com/smartepaper/UI/home.aspx?q=Mumbai/Main/2026-09-26/05</v>
      </c>
    </row>
    <row r="73" spans="6:6" x14ac:dyDescent="0.3">
      <c r="F73" t="str">
        <f t="shared" si="5"/>
        <v>https://epaper.esakal.com/smartepaper/UI/home.aspx?q=Mumbai/Main/2026-09-26/06</v>
      </c>
    </row>
    <row r="74" spans="6:6" x14ac:dyDescent="0.3">
      <c r="F74" t="str">
        <f t="shared" si="5"/>
        <v>https://epaper.esakal.com/smartepaper/UI/home.aspx?q=Mumbai/Main/2026-09-26/07</v>
      </c>
    </row>
    <row r="75" spans="6:6" x14ac:dyDescent="0.3">
      <c r="F75" t="str">
        <f t="shared" si="5"/>
        <v>https://epaper.esakal.com/smartepaper/UI/home.aspx?q=Mumbai/Main/2026-09-26/08</v>
      </c>
    </row>
    <row r="76" spans="6:6" x14ac:dyDescent="0.3">
      <c r="F76" t="str">
        <f t="shared" si="5"/>
        <v>https://epaper.esakal.com/smartepaper/UI/home.aspx?q=Mumbai/Main/2026-09-26/09</v>
      </c>
    </row>
    <row r="77" spans="6:6" x14ac:dyDescent="0.3">
      <c r="F77" t="str">
        <f t="shared" si="5"/>
        <v>https://epaper.esakal.com/smartepaper/UI/home.aspx?q=Mumbai/Main/2026-09-26/10</v>
      </c>
    </row>
    <row r="78" spans="6:6" x14ac:dyDescent="0.3">
      <c r="F78" t="str">
        <f>CONCATENATE($A$3,$B$8,$C$3,$D$3,E13)</f>
        <v>https://epaper.esakal.com/smartepaper/UI/home.aspx?q=Mumbai/Main/2026-09-26/11</v>
      </c>
    </row>
    <row r="79" spans="6:6" x14ac:dyDescent="0.3">
      <c r="F79" t="str">
        <f>CONCATENATE($A$3,$B$8,$C$3,$D$3,E14)</f>
        <v>https://epaper.esakal.com/smartepaper/UI/home.aspx?q=Mumbai/Main/2026-09-26/12</v>
      </c>
    </row>
    <row r="81" spans="6:6" x14ac:dyDescent="0.3">
      <c r="F81" t="str">
        <f>CONCATENATE($A$3,$B$9,$C$3,$D$3,E3)</f>
        <v>https://epaper.esakal.com/smartepaper/UI/home.aspx?q=Nagar/Main/2026-09-26/01</v>
      </c>
    </row>
    <row r="82" spans="6:6" x14ac:dyDescent="0.3">
      <c r="F82" t="str">
        <f t="shared" ref="F82:F92" si="6">CONCATENATE($A$3,$B$9,$C$3,$D$3,E4)</f>
        <v>https://epaper.esakal.com/smartepaper/UI/home.aspx?q=Nagar/Main/2026-09-26/02</v>
      </c>
    </row>
    <row r="83" spans="6:6" x14ac:dyDescent="0.3">
      <c r="F83" t="str">
        <f t="shared" si="6"/>
        <v>https://epaper.esakal.com/smartepaper/UI/home.aspx?q=Nagar/Main/2026-09-26/03</v>
      </c>
    </row>
    <row r="84" spans="6:6" x14ac:dyDescent="0.3">
      <c r="F84" t="str">
        <f t="shared" si="6"/>
        <v>https://epaper.esakal.com/smartepaper/UI/home.aspx?q=Nagar/Main/2026-09-26/04</v>
      </c>
    </row>
    <row r="85" spans="6:6" x14ac:dyDescent="0.3">
      <c r="F85" t="str">
        <f t="shared" si="6"/>
        <v>https://epaper.esakal.com/smartepaper/UI/home.aspx?q=Nagar/Main/2026-09-26/05</v>
      </c>
    </row>
    <row r="86" spans="6:6" x14ac:dyDescent="0.3">
      <c r="F86" t="str">
        <f t="shared" si="6"/>
        <v>https://epaper.esakal.com/smartepaper/UI/home.aspx?q=Nagar/Main/2026-09-26/06</v>
      </c>
    </row>
    <row r="87" spans="6:6" x14ac:dyDescent="0.3">
      <c r="F87" t="str">
        <f t="shared" si="6"/>
        <v>https://epaper.esakal.com/smartepaper/UI/home.aspx?q=Nagar/Main/2026-09-26/07</v>
      </c>
    </row>
    <row r="88" spans="6:6" x14ac:dyDescent="0.3">
      <c r="F88" t="str">
        <f t="shared" si="6"/>
        <v>https://epaper.esakal.com/smartepaper/UI/home.aspx?q=Nagar/Main/2026-09-26/08</v>
      </c>
    </row>
    <row r="89" spans="6:6" x14ac:dyDescent="0.3">
      <c r="F89" t="str">
        <f t="shared" si="6"/>
        <v>https://epaper.esakal.com/smartepaper/UI/home.aspx?q=Nagar/Main/2026-09-26/09</v>
      </c>
    </row>
    <row r="90" spans="6:6" x14ac:dyDescent="0.3">
      <c r="F90" t="str">
        <f t="shared" si="6"/>
        <v>https://epaper.esakal.com/smartepaper/UI/home.aspx?q=Nagar/Main/2026-09-26/10</v>
      </c>
    </row>
    <row r="91" spans="6:6" x14ac:dyDescent="0.3">
      <c r="F91" t="str">
        <f t="shared" si="6"/>
        <v>https://epaper.esakal.com/smartepaper/UI/home.aspx?q=Nagar/Main/2026-09-26/11</v>
      </c>
    </row>
    <row r="92" spans="6:6" x14ac:dyDescent="0.3">
      <c r="F92" t="str">
        <f t="shared" si="6"/>
        <v>https://epaper.esakal.com/smartepaper/UI/home.aspx?q=Nagar/Main/2026-09-26/12</v>
      </c>
    </row>
    <row r="94" spans="6:6" x14ac:dyDescent="0.3">
      <c r="F94" t="str">
        <f>CONCATENATE($A$3,$B$10,$C$3,$D$3,E3)</f>
        <v>https://epaper.esakal.com/smartepaper/UI/home.aspx?q=Nagpur/Main/2026-09-26/01</v>
      </c>
    </row>
    <row r="95" spans="6:6" x14ac:dyDescent="0.3">
      <c r="F95" t="str">
        <f t="shared" ref="F95:F105" si="7">CONCATENATE($A$3,$B$10,$C$3,$D$3,E4)</f>
        <v>https://epaper.esakal.com/smartepaper/UI/home.aspx?q=Nagpur/Main/2026-09-26/02</v>
      </c>
    </row>
    <row r="96" spans="6:6" x14ac:dyDescent="0.3">
      <c r="F96" t="str">
        <f t="shared" si="7"/>
        <v>https://epaper.esakal.com/smartepaper/UI/home.aspx?q=Nagpur/Main/2026-09-26/03</v>
      </c>
    </row>
    <row r="97" spans="6:6" x14ac:dyDescent="0.3">
      <c r="F97" t="str">
        <f t="shared" si="7"/>
        <v>https://epaper.esakal.com/smartepaper/UI/home.aspx?q=Nagpur/Main/2026-09-26/04</v>
      </c>
    </row>
    <row r="98" spans="6:6" x14ac:dyDescent="0.3">
      <c r="F98" t="str">
        <f t="shared" si="7"/>
        <v>https://epaper.esakal.com/smartepaper/UI/home.aspx?q=Nagpur/Main/2026-09-26/05</v>
      </c>
    </row>
    <row r="99" spans="6:6" x14ac:dyDescent="0.3">
      <c r="F99" t="str">
        <f t="shared" si="7"/>
        <v>https://epaper.esakal.com/smartepaper/UI/home.aspx?q=Nagpur/Main/2026-09-26/06</v>
      </c>
    </row>
    <row r="100" spans="6:6" x14ac:dyDescent="0.3">
      <c r="F100" t="str">
        <f t="shared" si="7"/>
        <v>https://epaper.esakal.com/smartepaper/UI/home.aspx?q=Nagpur/Main/2026-09-26/07</v>
      </c>
    </row>
    <row r="101" spans="6:6" x14ac:dyDescent="0.3">
      <c r="F101" t="str">
        <f t="shared" si="7"/>
        <v>https://epaper.esakal.com/smartepaper/UI/home.aspx?q=Nagpur/Main/2026-09-26/08</v>
      </c>
    </row>
    <row r="102" spans="6:6" x14ac:dyDescent="0.3">
      <c r="F102" t="str">
        <f t="shared" si="7"/>
        <v>https://epaper.esakal.com/smartepaper/UI/home.aspx?q=Nagpur/Main/2026-09-26/09</v>
      </c>
    </row>
    <row r="103" spans="6:6" x14ac:dyDescent="0.3">
      <c r="F103" t="str">
        <f t="shared" si="7"/>
        <v>https://epaper.esakal.com/smartepaper/UI/home.aspx?q=Nagpur/Main/2026-09-26/10</v>
      </c>
    </row>
    <row r="104" spans="6:6" x14ac:dyDescent="0.3">
      <c r="F104" t="str">
        <f t="shared" si="7"/>
        <v>https://epaper.esakal.com/smartepaper/UI/home.aspx?q=Nagpur/Main/2026-09-26/11</v>
      </c>
    </row>
    <row r="105" spans="6:6" x14ac:dyDescent="0.3">
      <c r="F105" t="str">
        <f t="shared" si="7"/>
        <v>https://epaper.esakal.com/smartepaper/UI/home.aspx?q=Nagpur/Main/2026-09-26/12</v>
      </c>
    </row>
    <row r="107" spans="6:6" x14ac:dyDescent="0.3">
      <c r="F107" t="str">
        <f>CONCATENATE($A$3,$B$11,$C$3,$D$3,E3)</f>
        <v>https://epaper.esakal.com/smartepaper/UI/home.aspx?q=Nanded/Main/2026-09-26/01</v>
      </c>
    </row>
    <row r="108" spans="6:6" x14ac:dyDescent="0.3">
      <c r="F108" t="str">
        <f t="shared" ref="F108:F118" si="8">CONCATENATE($A$3,$B$11,$C$3,$D$3,E4)</f>
        <v>https://epaper.esakal.com/smartepaper/UI/home.aspx?q=Nanded/Main/2026-09-26/02</v>
      </c>
    </row>
    <row r="109" spans="6:6" x14ac:dyDescent="0.3">
      <c r="F109" t="str">
        <f t="shared" si="8"/>
        <v>https://epaper.esakal.com/smartepaper/UI/home.aspx?q=Nanded/Main/2026-09-26/03</v>
      </c>
    </row>
    <row r="110" spans="6:6" x14ac:dyDescent="0.3">
      <c r="F110" t="str">
        <f t="shared" si="8"/>
        <v>https://epaper.esakal.com/smartepaper/UI/home.aspx?q=Nanded/Main/2026-09-26/04</v>
      </c>
    </row>
    <row r="111" spans="6:6" x14ac:dyDescent="0.3">
      <c r="F111" t="str">
        <f t="shared" si="8"/>
        <v>https://epaper.esakal.com/smartepaper/UI/home.aspx?q=Nanded/Main/2026-09-26/05</v>
      </c>
    </row>
    <row r="112" spans="6:6" x14ac:dyDescent="0.3">
      <c r="F112" t="str">
        <f t="shared" si="8"/>
        <v>https://epaper.esakal.com/smartepaper/UI/home.aspx?q=Nanded/Main/2026-09-26/06</v>
      </c>
    </row>
    <row r="113" spans="6:6" x14ac:dyDescent="0.3">
      <c r="F113" t="str">
        <f t="shared" si="8"/>
        <v>https://epaper.esakal.com/smartepaper/UI/home.aspx?q=Nanded/Main/2026-09-26/07</v>
      </c>
    </row>
    <row r="114" spans="6:6" x14ac:dyDescent="0.3">
      <c r="F114" t="str">
        <f t="shared" si="8"/>
        <v>https://epaper.esakal.com/smartepaper/UI/home.aspx?q=Nanded/Main/2026-09-26/08</v>
      </c>
    </row>
    <row r="115" spans="6:6" x14ac:dyDescent="0.3">
      <c r="F115" t="str">
        <f t="shared" si="8"/>
        <v>https://epaper.esakal.com/smartepaper/UI/home.aspx?q=Nanded/Main/2026-09-26/09</v>
      </c>
    </row>
    <row r="116" spans="6:6" x14ac:dyDescent="0.3">
      <c r="F116" t="str">
        <f t="shared" si="8"/>
        <v>https://epaper.esakal.com/smartepaper/UI/home.aspx?q=Nanded/Main/2026-09-26/10</v>
      </c>
    </row>
    <row r="117" spans="6:6" x14ac:dyDescent="0.3">
      <c r="F117" t="str">
        <f>CONCATENATE($A$3,$B$11,$C$3,$D$3,E13)</f>
        <v>https://epaper.esakal.com/smartepaper/UI/home.aspx?q=Nanded/Main/2026-09-26/11</v>
      </c>
    </row>
    <row r="118" spans="6:6" x14ac:dyDescent="0.3">
      <c r="F118" t="str">
        <f t="shared" si="8"/>
        <v>https://epaper.esakal.com/smartepaper/UI/home.aspx?q=Nanded/Main/2026-09-26/12</v>
      </c>
    </row>
    <row r="120" spans="6:6" x14ac:dyDescent="0.3">
      <c r="F120" t="str">
        <f>CONCATENATE($A$3,$B$12,$C$3,$D$3,E3)</f>
        <v>https://epaper.esakal.com/smartepaper/UI/home.aspx?q=Nashik/Main/2026-09-26/01</v>
      </c>
    </row>
    <row r="121" spans="6:6" x14ac:dyDescent="0.3">
      <c r="F121" t="str">
        <f t="shared" ref="F121:F131" si="9">CONCATENATE($A$3,$B$12,$C$3,$D$3,E4)</f>
        <v>https://epaper.esakal.com/smartepaper/UI/home.aspx?q=Nashik/Main/2026-09-26/02</v>
      </c>
    </row>
    <row r="122" spans="6:6" x14ac:dyDescent="0.3">
      <c r="F122" t="str">
        <f t="shared" si="9"/>
        <v>https://epaper.esakal.com/smartepaper/UI/home.aspx?q=Nashik/Main/2026-09-26/03</v>
      </c>
    </row>
    <row r="123" spans="6:6" x14ac:dyDescent="0.3">
      <c r="F123" t="str">
        <f t="shared" si="9"/>
        <v>https://epaper.esakal.com/smartepaper/UI/home.aspx?q=Nashik/Main/2026-09-26/04</v>
      </c>
    </row>
    <row r="124" spans="6:6" x14ac:dyDescent="0.3">
      <c r="F124" t="str">
        <f t="shared" si="9"/>
        <v>https://epaper.esakal.com/smartepaper/UI/home.aspx?q=Nashik/Main/2026-09-26/05</v>
      </c>
    </row>
    <row r="125" spans="6:6" x14ac:dyDescent="0.3">
      <c r="F125" t="str">
        <f t="shared" si="9"/>
        <v>https://epaper.esakal.com/smartepaper/UI/home.aspx?q=Nashik/Main/2026-09-26/06</v>
      </c>
    </row>
    <row r="126" spans="6:6" x14ac:dyDescent="0.3">
      <c r="F126" t="str">
        <f t="shared" si="9"/>
        <v>https://epaper.esakal.com/smartepaper/UI/home.aspx?q=Nashik/Main/2026-09-26/07</v>
      </c>
    </row>
    <row r="127" spans="6:6" x14ac:dyDescent="0.3">
      <c r="F127" t="str">
        <f t="shared" si="9"/>
        <v>https://epaper.esakal.com/smartepaper/UI/home.aspx?q=Nashik/Main/2026-09-26/08</v>
      </c>
    </row>
    <row r="128" spans="6:6" x14ac:dyDescent="0.3">
      <c r="F128" t="str">
        <f t="shared" si="9"/>
        <v>https://epaper.esakal.com/smartepaper/UI/home.aspx?q=Nashik/Main/2026-09-26/09</v>
      </c>
    </row>
    <row r="129" spans="6:6" x14ac:dyDescent="0.3">
      <c r="F129" t="str">
        <f t="shared" si="9"/>
        <v>https://epaper.esakal.com/smartepaper/UI/home.aspx?q=Nashik/Main/2026-09-26/10</v>
      </c>
    </row>
    <row r="130" spans="6:6" x14ac:dyDescent="0.3">
      <c r="F130" t="str">
        <f t="shared" si="9"/>
        <v>https://epaper.esakal.com/smartepaper/UI/home.aspx?q=Nashik/Main/2026-09-26/11</v>
      </c>
    </row>
    <row r="131" spans="6:6" x14ac:dyDescent="0.3">
      <c r="F131" t="str">
        <f t="shared" si="9"/>
        <v>https://epaper.esakal.com/smartepaper/UI/home.aspx?q=Nashik/Main/2026-09-26/12</v>
      </c>
    </row>
    <row r="133" spans="6:6" x14ac:dyDescent="0.3">
      <c r="F133" t="str">
        <f>CONCATENATE($A$3,$B$13,$C$3,$D$3,E3)</f>
        <v>https://epaper.esakal.com/smartepaper/UI/home.aspx?q=Pune/Main/2026-09-26/01</v>
      </c>
    </row>
    <row r="134" spans="6:6" x14ac:dyDescent="0.3">
      <c r="F134" t="str">
        <f t="shared" ref="F134:F144" si="10">CONCATENATE($A$3,$B$13,$C$3,$D$3,E4)</f>
        <v>https://epaper.esakal.com/smartepaper/UI/home.aspx?q=Pune/Main/2026-09-26/02</v>
      </c>
    </row>
    <row r="135" spans="6:6" x14ac:dyDescent="0.3">
      <c r="F135" t="str">
        <f t="shared" si="10"/>
        <v>https://epaper.esakal.com/smartepaper/UI/home.aspx?q=Pune/Main/2026-09-26/03</v>
      </c>
    </row>
    <row r="136" spans="6:6" x14ac:dyDescent="0.3">
      <c r="F136" t="str">
        <f t="shared" si="10"/>
        <v>https://epaper.esakal.com/smartepaper/UI/home.aspx?q=Pune/Main/2026-09-26/04</v>
      </c>
    </row>
    <row r="137" spans="6:6" x14ac:dyDescent="0.3">
      <c r="F137" t="str">
        <f t="shared" si="10"/>
        <v>https://epaper.esakal.com/smartepaper/UI/home.aspx?q=Pune/Main/2026-09-26/05</v>
      </c>
    </row>
    <row r="138" spans="6:6" x14ac:dyDescent="0.3">
      <c r="F138" t="str">
        <f t="shared" si="10"/>
        <v>https://epaper.esakal.com/smartepaper/UI/home.aspx?q=Pune/Main/2026-09-26/06</v>
      </c>
    </row>
    <row r="139" spans="6:6" x14ac:dyDescent="0.3">
      <c r="F139" t="str">
        <f t="shared" si="10"/>
        <v>https://epaper.esakal.com/smartepaper/UI/home.aspx?q=Pune/Main/2026-09-26/07</v>
      </c>
    </row>
    <row r="140" spans="6:6" x14ac:dyDescent="0.3">
      <c r="F140" t="str">
        <f t="shared" si="10"/>
        <v>https://epaper.esakal.com/smartepaper/UI/home.aspx?q=Pune/Main/2026-09-26/08</v>
      </c>
    </row>
    <row r="141" spans="6:6" x14ac:dyDescent="0.3">
      <c r="F141" t="str">
        <f t="shared" si="10"/>
        <v>https://epaper.esakal.com/smartepaper/UI/home.aspx?q=Pune/Main/2026-09-26/09</v>
      </c>
    </row>
    <row r="142" spans="6:6" x14ac:dyDescent="0.3">
      <c r="F142" t="str">
        <f t="shared" si="10"/>
        <v>https://epaper.esakal.com/smartepaper/UI/home.aspx?q=Pune/Main/2026-09-26/10</v>
      </c>
    </row>
    <row r="143" spans="6:6" x14ac:dyDescent="0.3">
      <c r="F143" t="str">
        <f t="shared" si="10"/>
        <v>https://epaper.esakal.com/smartepaper/UI/home.aspx?q=Pune/Main/2026-09-26/11</v>
      </c>
    </row>
    <row r="144" spans="6:6" x14ac:dyDescent="0.3">
      <c r="F144" t="str">
        <f t="shared" si="10"/>
        <v>https://epaper.esakal.com/smartepaper/UI/home.aspx?q=Pune/Main/2026-09-26/12</v>
      </c>
    </row>
    <row r="146" spans="6:6" x14ac:dyDescent="0.3">
      <c r="F146" t="str">
        <f>CONCATENATE($A$3,$B$14,$C$3,$D$3,E3)</f>
        <v>https://epaper.esakal.com/smartepaper/UI/home.aspx?q=Ratnagiri/Main/2026-09-26/01</v>
      </c>
    </row>
    <row r="147" spans="6:6" x14ac:dyDescent="0.3">
      <c r="F147" t="str">
        <f t="shared" ref="F147:F156" si="11">CONCATENATE($A$3,$B$14,$C$3,$D$3,E4)</f>
        <v>https://epaper.esakal.com/smartepaper/UI/home.aspx?q=Ratnagiri/Main/2026-09-26/02</v>
      </c>
    </row>
    <row r="148" spans="6:6" x14ac:dyDescent="0.3">
      <c r="F148" t="str">
        <f t="shared" si="11"/>
        <v>https://epaper.esakal.com/smartepaper/UI/home.aspx?q=Ratnagiri/Main/2026-09-26/03</v>
      </c>
    </row>
    <row r="149" spans="6:6" x14ac:dyDescent="0.3">
      <c r="F149" t="str">
        <f t="shared" si="11"/>
        <v>https://epaper.esakal.com/smartepaper/UI/home.aspx?q=Ratnagiri/Main/2026-09-26/04</v>
      </c>
    </row>
    <row r="150" spans="6:6" x14ac:dyDescent="0.3">
      <c r="F150" t="str">
        <f t="shared" si="11"/>
        <v>https://epaper.esakal.com/smartepaper/UI/home.aspx?q=Ratnagiri/Main/2026-09-26/05</v>
      </c>
    </row>
    <row r="151" spans="6:6" x14ac:dyDescent="0.3">
      <c r="F151" t="str">
        <f t="shared" si="11"/>
        <v>https://epaper.esakal.com/smartepaper/UI/home.aspx?q=Ratnagiri/Main/2026-09-26/06</v>
      </c>
    </row>
    <row r="152" spans="6:6" x14ac:dyDescent="0.3">
      <c r="F152" t="str">
        <f t="shared" si="11"/>
        <v>https://epaper.esakal.com/smartepaper/UI/home.aspx?q=Ratnagiri/Main/2026-09-26/07</v>
      </c>
    </row>
    <row r="153" spans="6:6" x14ac:dyDescent="0.3">
      <c r="F153" t="str">
        <f t="shared" si="11"/>
        <v>https://epaper.esakal.com/smartepaper/UI/home.aspx?q=Ratnagiri/Main/2026-09-26/08</v>
      </c>
    </row>
    <row r="154" spans="6:6" x14ac:dyDescent="0.3">
      <c r="F154" t="str">
        <f t="shared" si="11"/>
        <v>https://epaper.esakal.com/smartepaper/UI/home.aspx?q=Ratnagiri/Main/2026-09-26/09</v>
      </c>
    </row>
    <row r="155" spans="6:6" x14ac:dyDescent="0.3">
      <c r="F155" t="str">
        <f t="shared" si="11"/>
        <v>https://epaper.esakal.com/smartepaper/UI/home.aspx?q=Ratnagiri/Main/2026-09-26/10</v>
      </c>
    </row>
    <row r="156" spans="6:6" x14ac:dyDescent="0.3">
      <c r="F156" t="str">
        <f t="shared" si="11"/>
        <v>https://epaper.esakal.com/smartepaper/UI/home.aspx?q=Ratnagiri/Main/2026-09-26/11</v>
      </c>
    </row>
    <row r="157" spans="6:6" x14ac:dyDescent="0.3">
      <c r="F157" t="str">
        <f>CONCATENATE($A$3,$B$14,$C$3,$D$3,E14)</f>
        <v>https://epaper.esakal.com/smartepaper/UI/home.aspx?q=Ratnagiri/Main/2026-09-26/12</v>
      </c>
    </row>
    <row r="159" spans="6:6" x14ac:dyDescent="0.3">
      <c r="F159" t="str">
        <f>CONCATENATE($A$3,$B$15,$C$3,$D$3,E3)</f>
        <v>https://epaper.esakal.com/smartepaper/UI/home.aspx?q=Sangli/Main/2026-09-26/01</v>
      </c>
    </row>
    <row r="160" spans="6:6" x14ac:dyDescent="0.3">
      <c r="F160" t="str">
        <f t="shared" ref="F160:F170" si="12">CONCATENATE($A$3,$B$15,$C$3,$D$3,E4)</f>
        <v>https://epaper.esakal.com/smartepaper/UI/home.aspx?q=Sangli/Main/2026-09-26/02</v>
      </c>
    </row>
    <row r="161" spans="6:6" x14ac:dyDescent="0.3">
      <c r="F161" t="str">
        <f t="shared" si="12"/>
        <v>https://epaper.esakal.com/smartepaper/UI/home.aspx?q=Sangli/Main/2026-09-26/03</v>
      </c>
    </row>
    <row r="162" spans="6:6" x14ac:dyDescent="0.3">
      <c r="F162" t="str">
        <f t="shared" si="12"/>
        <v>https://epaper.esakal.com/smartepaper/UI/home.aspx?q=Sangli/Main/2026-09-26/04</v>
      </c>
    </row>
    <row r="163" spans="6:6" x14ac:dyDescent="0.3">
      <c r="F163" t="str">
        <f t="shared" si="12"/>
        <v>https://epaper.esakal.com/smartepaper/UI/home.aspx?q=Sangli/Main/2026-09-26/05</v>
      </c>
    </row>
    <row r="164" spans="6:6" x14ac:dyDescent="0.3">
      <c r="F164" t="str">
        <f t="shared" si="12"/>
        <v>https://epaper.esakal.com/smartepaper/UI/home.aspx?q=Sangli/Main/2026-09-26/06</v>
      </c>
    </row>
    <row r="165" spans="6:6" x14ac:dyDescent="0.3">
      <c r="F165" t="str">
        <f t="shared" si="12"/>
        <v>https://epaper.esakal.com/smartepaper/UI/home.aspx?q=Sangli/Main/2026-09-26/07</v>
      </c>
    </row>
    <row r="166" spans="6:6" x14ac:dyDescent="0.3">
      <c r="F166" t="str">
        <f t="shared" si="12"/>
        <v>https://epaper.esakal.com/smartepaper/UI/home.aspx?q=Sangli/Main/2026-09-26/08</v>
      </c>
    </row>
    <row r="167" spans="6:6" x14ac:dyDescent="0.3">
      <c r="F167" t="str">
        <f t="shared" si="12"/>
        <v>https://epaper.esakal.com/smartepaper/UI/home.aspx?q=Sangli/Main/2026-09-26/09</v>
      </c>
    </row>
    <row r="168" spans="6:6" x14ac:dyDescent="0.3">
      <c r="F168" t="str">
        <f t="shared" si="12"/>
        <v>https://epaper.esakal.com/smartepaper/UI/home.aspx?q=Sangli/Main/2026-09-26/10</v>
      </c>
    </row>
    <row r="169" spans="6:6" x14ac:dyDescent="0.3">
      <c r="F169" t="str">
        <f t="shared" si="12"/>
        <v>https://epaper.esakal.com/smartepaper/UI/home.aspx?q=Sangli/Main/2026-09-26/11</v>
      </c>
    </row>
    <row r="170" spans="6:6" x14ac:dyDescent="0.3">
      <c r="F170" t="str">
        <f t="shared" si="12"/>
        <v>https://epaper.esakal.com/smartepaper/UI/home.aspx?q=Sangli/Main/2026-09-26/12</v>
      </c>
    </row>
    <row r="172" spans="6:6" x14ac:dyDescent="0.3">
      <c r="F172" t="str">
        <f>CONCATENATE($A$3,$B$16,$C$3,$D$3,E3)</f>
        <v>https://epaper.esakal.com/smartepaper/UI/home.aspx?q=Sindhudurg/Main/2026-09-26/01</v>
      </c>
    </row>
    <row r="173" spans="6:6" x14ac:dyDescent="0.3">
      <c r="F173" t="str">
        <f t="shared" ref="F173:F183" si="13">CONCATENATE($A$3,$B$16,$C$3,$D$3,E4)</f>
        <v>https://epaper.esakal.com/smartepaper/UI/home.aspx?q=Sindhudurg/Main/2026-09-26/02</v>
      </c>
    </row>
    <row r="174" spans="6:6" x14ac:dyDescent="0.3">
      <c r="F174" t="str">
        <f t="shared" si="13"/>
        <v>https://epaper.esakal.com/smartepaper/UI/home.aspx?q=Sindhudurg/Main/2026-09-26/03</v>
      </c>
    </row>
    <row r="175" spans="6:6" x14ac:dyDescent="0.3">
      <c r="F175" t="str">
        <f t="shared" si="13"/>
        <v>https://epaper.esakal.com/smartepaper/UI/home.aspx?q=Sindhudurg/Main/2026-09-26/04</v>
      </c>
    </row>
    <row r="176" spans="6:6" x14ac:dyDescent="0.3">
      <c r="F176" t="str">
        <f t="shared" si="13"/>
        <v>https://epaper.esakal.com/smartepaper/UI/home.aspx?q=Sindhudurg/Main/2026-09-26/05</v>
      </c>
    </row>
    <row r="177" spans="6:6" x14ac:dyDescent="0.3">
      <c r="F177" t="str">
        <f t="shared" si="13"/>
        <v>https://epaper.esakal.com/smartepaper/UI/home.aspx?q=Sindhudurg/Main/2026-09-26/06</v>
      </c>
    </row>
    <row r="178" spans="6:6" x14ac:dyDescent="0.3">
      <c r="F178" t="str">
        <f t="shared" si="13"/>
        <v>https://epaper.esakal.com/smartepaper/UI/home.aspx?q=Sindhudurg/Main/2026-09-26/07</v>
      </c>
    </row>
    <row r="179" spans="6:6" x14ac:dyDescent="0.3">
      <c r="F179" t="str">
        <f t="shared" si="13"/>
        <v>https://epaper.esakal.com/smartepaper/UI/home.aspx?q=Sindhudurg/Main/2026-09-26/08</v>
      </c>
    </row>
    <row r="180" spans="6:6" x14ac:dyDescent="0.3">
      <c r="F180" t="str">
        <f t="shared" si="13"/>
        <v>https://epaper.esakal.com/smartepaper/UI/home.aspx?q=Sindhudurg/Main/2026-09-26/09</v>
      </c>
    </row>
    <row r="181" spans="6:6" x14ac:dyDescent="0.3">
      <c r="F181" t="str">
        <f t="shared" si="13"/>
        <v>https://epaper.esakal.com/smartepaper/UI/home.aspx?q=Sindhudurg/Main/2026-09-26/10</v>
      </c>
    </row>
    <row r="182" spans="6:6" x14ac:dyDescent="0.3">
      <c r="F182" t="str">
        <f t="shared" si="13"/>
        <v>https://epaper.esakal.com/smartepaper/UI/home.aspx?q=Sindhudurg/Main/2026-09-26/11</v>
      </c>
    </row>
    <row r="183" spans="6:6" x14ac:dyDescent="0.3">
      <c r="F183" t="str">
        <f t="shared" si="13"/>
        <v>https://epaper.esakal.com/smartepaper/UI/home.aspx?q=Sindhudurg/Main/2026-09-26/12</v>
      </c>
    </row>
    <row r="185" spans="6:6" x14ac:dyDescent="0.3">
      <c r="F185" t="str">
        <f>CONCATENATE($A$3,$B$17,$C$3,$D$3,E3)</f>
        <v>https://epaper.esakal.com/smartepaper/UI/home.aspx?q=Solapur/Main/2026-09-26/01</v>
      </c>
    </row>
    <row r="186" spans="6:6" x14ac:dyDescent="0.3">
      <c r="F186" t="str">
        <f t="shared" ref="F186:F195" si="14">CONCATENATE($A$3,$B$17,$C$3,$D$3,E4)</f>
        <v>https://epaper.esakal.com/smartepaper/UI/home.aspx?q=Solapur/Main/2026-09-26/02</v>
      </c>
    </row>
    <row r="187" spans="6:6" x14ac:dyDescent="0.3">
      <c r="F187" t="str">
        <f t="shared" si="14"/>
        <v>https://epaper.esakal.com/smartepaper/UI/home.aspx?q=Solapur/Main/2026-09-26/03</v>
      </c>
    </row>
    <row r="188" spans="6:6" x14ac:dyDescent="0.3">
      <c r="F188" t="str">
        <f t="shared" si="14"/>
        <v>https://epaper.esakal.com/smartepaper/UI/home.aspx?q=Solapur/Main/2026-09-26/04</v>
      </c>
    </row>
    <row r="189" spans="6:6" x14ac:dyDescent="0.3">
      <c r="F189" t="str">
        <f t="shared" si="14"/>
        <v>https://epaper.esakal.com/smartepaper/UI/home.aspx?q=Solapur/Main/2026-09-26/05</v>
      </c>
    </row>
    <row r="190" spans="6:6" x14ac:dyDescent="0.3">
      <c r="F190" t="str">
        <f t="shared" si="14"/>
        <v>https://epaper.esakal.com/smartepaper/UI/home.aspx?q=Solapur/Main/2026-09-26/06</v>
      </c>
    </row>
    <row r="191" spans="6:6" x14ac:dyDescent="0.3">
      <c r="F191" t="str">
        <f t="shared" si="14"/>
        <v>https://epaper.esakal.com/smartepaper/UI/home.aspx?q=Solapur/Main/2026-09-26/07</v>
      </c>
    </row>
    <row r="192" spans="6:6" x14ac:dyDescent="0.3">
      <c r="F192" t="str">
        <f t="shared" si="14"/>
        <v>https://epaper.esakal.com/smartepaper/UI/home.aspx?q=Solapur/Main/2026-09-26/08</v>
      </c>
    </row>
    <row r="193" spans="6:6" x14ac:dyDescent="0.3">
      <c r="F193" t="str">
        <f t="shared" si="14"/>
        <v>https://epaper.esakal.com/smartepaper/UI/home.aspx?q=Solapur/Main/2026-09-26/09</v>
      </c>
    </row>
    <row r="194" spans="6:6" x14ac:dyDescent="0.3">
      <c r="F194" t="str">
        <f t="shared" si="14"/>
        <v>https://epaper.esakal.com/smartepaper/UI/home.aspx?q=Solapur/Main/2026-09-26/10</v>
      </c>
    </row>
    <row r="195" spans="6:6" x14ac:dyDescent="0.3">
      <c r="F195" t="str">
        <f t="shared" si="14"/>
        <v>https://epaper.esakal.com/smartepaper/UI/home.aspx?q=Solapur/Main/2026-09-26/11</v>
      </c>
    </row>
    <row r="196" spans="6:6" x14ac:dyDescent="0.3">
      <c r="F196" t="str">
        <f>CONCATENATE($A$3,$B$17,$C$3,$D$3,E14)</f>
        <v>https://epaper.esakal.com/smartepaper/UI/home.aspx?q=Solapur/Main/2026-09-26/12</v>
      </c>
    </row>
  </sheetData>
  <hyperlinks>
    <hyperlink ref="A3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127"/>
  <sheetViews>
    <sheetView workbookViewId="0">
      <selection sqref="A1:A1048576"/>
    </sheetView>
  </sheetViews>
  <sheetFormatPr defaultRowHeight="14.4" x14ac:dyDescent="0.3"/>
  <cols>
    <col min="1" max="1" width="24.44140625" customWidth="1"/>
    <col min="2" max="2" width="8.88671875" style="4"/>
    <col min="4" max="4" width="10.33203125" bestFit="1" customWidth="1"/>
    <col min="6" max="6" width="8.88671875" style="4"/>
    <col min="8" max="8" width="58.77734375" bestFit="1" customWidth="1"/>
  </cols>
  <sheetData>
    <row r="2" spans="1:8" x14ac:dyDescent="0.3">
      <c r="A2" s="4"/>
    </row>
    <row r="3" spans="1:8" x14ac:dyDescent="0.3">
      <c r="A3" s="4" t="s">
        <v>27</v>
      </c>
      <c r="B3" s="4">
        <v>4205797</v>
      </c>
      <c r="C3" s="4" t="s">
        <v>64</v>
      </c>
      <c r="D3" s="5" t="s">
        <v>72</v>
      </c>
      <c r="E3" s="4" t="s">
        <v>66</v>
      </c>
      <c r="F3" s="4">
        <v>1</v>
      </c>
      <c r="G3" s="4" t="s">
        <v>65</v>
      </c>
      <c r="H3" t="str">
        <f>CONCATENATE($A$3,$B$3,$C$3,$D$3,$E$3,F3,$G$3)</f>
        <v>https://epaper.loksatta.com/4205797/Mumbai/02-10-2026#dual/1/1</v>
      </c>
    </row>
    <row r="4" spans="1:8" x14ac:dyDescent="0.3">
      <c r="B4" s="4">
        <v>4205799</v>
      </c>
      <c r="C4" t="s">
        <v>67</v>
      </c>
      <c r="F4" s="4">
        <v>2</v>
      </c>
      <c r="H4" t="str">
        <f>CONCATENATE($A$3,$B$3,$C$3,$D$3,$E$3,F4,$G$3)</f>
        <v>https://epaper.loksatta.com/4205797/Mumbai/02-10-2026#dual/2/1</v>
      </c>
    </row>
    <row r="5" spans="1:8" x14ac:dyDescent="0.3">
      <c r="B5" s="4">
        <v>4205800</v>
      </c>
      <c r="C5" t="s">
        <v>68</v>
      </c>
      <c r="F5" s="4">
        <v>4</v>
      </c>
      <c r="H5" t="str">
        <f t="shared" ref="H5:H21" si="0">CONCATENATE($A$3,$B$3,$C$3,$D$3,$E$3,F5,$G$3)</f>
        <v>https://epaper.loksatta.com/4205797/Mumbai/02-10-2026#dual/4/1</v>
      </c>
    </row>
    <row r="6" spans="1:8" x14ac:dyDescent="0.3">
      <c r="B6" s="4">
        <v>4205822</v>
      </c>
      <c r="C6" t="s">
        <v>69</v>
      </c>
      <c r="F6" s="4">
        <v>6</v>
      </c>
      <c r="H6" t="str">
        <f t="shared" si="0"/>
        <v>https://epaper.loksatta.com/4205797/Mumbai/02-10-2026#dual/6/1</v>
      </c>
    </row>
    <row r="7" spans="1:8" x14ac:dyDescent="0.3">
      <c r="B7" s="4">
        <v>4205810</v>
      </c>
      <c r="C7" t="s">
        <v>70</v>
      </c>
      <c r="F7" s="4">
        <v>8</v>
      </c>
      <c r="H7" t="str">
        <f t="shared" si="0"/>
        <v>https://epaper.loksatta.com/4205797/Mumbai/02-10-2026#dual/8/1</v>
      </c>
    </row>
    <row r="8" spans="1:8" x14ac:dyDescent="0.3">
      <c r="B8" s="4">
        <v>4205815</v>
      </c>
      <c r="C8" t="s">
        <v>71</v>
      </c>
      <c r="F8" s="4">
        <v>10</v>
      </c>
      <c r="H8" t="str">
        <f t="shared" si="0"/>
        <v>https://epaper.loksatta.com/4205797/Mumbai/02-10-2026#dual/10/1</v>
      </c>
    </row>
    <row r="9" spans="1:8" x14ac:dyDescent="0.3">
      <c r="F9" s="4">
        <v>12</v>
      </c>
      <c r="H9" t="str">
        <f t="shared" si="0"/>
        <v>https://epaper.loksatta.com/4205797/Mumbai/02-10-2026#dual/12/1</v>
      </c>
    </row>
    <row r="10" spans="1:8" x14ac:dyDescent="0.3">
      <c r="F10" s="4">
        <v>14</v>
      </c>
      <c r="H10" t="str">
        <f t="shared" si="0"/>
        <v>https://epaper.loksatta.com/4205797/Mumbai/02-10-2026#dual/14/1</v>
      </c>
    </row>
    <row r="11" spans="1:8" x14ac:dyDescent="0.3">
      <c r="F11" s="4">
        <v>16</v>
      </c>
      <c r="H11" t="str">
        <f t="shared" si="0"/>
        <v>https://epaper.loksatta.com/4205797/Mumbai/02-10-2026#dual/16/1</v>
      </c>
    </row>
    <row r="12" spans="1:8" x14ac:dyDescent="0.3">
      <c r="F12" s="4">
        <v>18</v>
      </c>
      <c r="H12" t="str">
        <f t="shared" si="0"/>
        <v>https://epaper.loksatta.com/4205797/Mumbai/02-10-2026#dual/18/1</v>
      </c>
    </row>
    <row r="13" spans="1:8" x14ac:dyDescent="0.3">
      <c r="F13" s="4">
        <v>20</v>
      </c>
      <c r="H13" t="str">
        <f t="shared" si="0"/>
        <v>https://epaper.loksatta.com/4205797/Mumbai/02-10-2026#dual/20/1</v>
      </c>
    </row>
    <row r="14" spans="1:8" x14ac:dyDescent="0.3">
      <c r="F14" s="4">
        <v>22</v>
      </c>
      <c r="H14" t="str">
        <f t="shared" si="0"/>
        <v>https://epaper.loksatta.com/4205797/Mumbai/02-10-2026#dual/22/1</v>
      </c>
    </row>
    <row r="15" spans="1:8" x14ac:dyDescent="0.3">
      <c r="F15" s="4">
        <v>24</v>
      </c>
      <c r="H15" t="str">
        <f t="shared" si="0"/>
        <v>https://epaper.loksatta.com/4205797/Mumbai/02-10-2026#dual/24/1</v>
      </c>
    </row>
    <row r="16" spans="1:8" x14ac:dyDescent="0.3">
      <c r="F16" s="4">
        <v>26</v>
      </c>
      <c r="H16" t="str">
        <f t="shared" si="0"/>
        <v>https://epaper.loksatta.com/4205797/Mumbai/02-10-2026#dual/26/1</v>
      </c>
    </row>
    <row r="17" spans="6:8" x14ac:dyDescent="0.3">
      <c r="F17" s="4">
        <v>28</v>
      </c>
      <c r="H17" t="str">
        <f t="shared" si="0"/>
        <v>https://epaper.loksatta.com/4205797/Mumbai/02-10-2026#dual/28/1</v>
      </c>
    </row>
    <row r="18" spans="6:8" x14ac:dyDescent="0.3">
      <c r="F18" s="4">
        <v>30</v>
      </c>
      <c r="H18" t="str">
        <f t="shared" si="0"/>
        <v>https://epaper.loksatta.com/4205797/Mumbai/02-10-2026#dual/30/1</v>
      </c>
    </row>
    <row r="19" spans="6:8" x14ac:dyDescent="0.3">
      <c r="F19" s="4">
        <v>32</v>
      </c>
      <c r="H19" t="str">
        <f t="shared" si="0"/>
        <v>https://epaper.loksatta.com/4205797/Mumbai/02-10-2026#dual/32/1</v>
      </c>
    </row>
    <row r="20" spans="6:8" x14ac:dyDescent="0.3">
      <c r="F20" s="4">
        <v>34</v>
      </c>
      <c r="H20" t="str">
        <f t="shared" si="0"/>
        <v>https://epaper.loksatta.com/4205797/Mumbai/02-10-2026#dual/34/1</v>
      </c>
    </row>
    <row r="21" spans="6:8" x14ac:dyDescent="0.3">
      <c r="F21" s="4">
        <v>36</v>
      </c>
      <c r="H21" t="str">
        <f t="shared" si="0"/>
        <v>https://epaper.loksatta.com/4205797/Mumbai/02-10-2026#dual/36/1</v>
      </c>
    </row>
    <row r="23" spans="6:8" x14ac:dyDescent="0.3">
      <c r="H23" t="str">
        <f>CONCATENATE($A$3,$B$4,$C$4,$D$3,$E$3,F3,$G$3)</f>
        <v>https://epaper.loksatta.com/4205799/Pune/02-10-2026#dual/1/1</v>
      </c>
    </row>
    <row r="24" spans="6:8" x14ac:dyDescent="0.3">
      <c r="H24" t="str">
        <f t="shared" ref="H24:H41" si="1">CONCATENATE($A$3,$B$4,$C$4,$D$3,$E$3,F4,$G$3)</f>
        <v>https://epaper.loksatta.com/4205799/Pune/02-10-2026#dual/2/1</v>
      </c>
    </row>
    <row r="25" spans="6:8" x14ac:dyDescent="0.3">
      <c r="H25" t="str">
        <f t="shared" si="1"/>
        <v>https://epaper.loksatta.com/4205799/Pune/02-10-2026#dual/4/1</v>
      </c>
    </row>
    <row r="26" spans="6:8" x14ac:dyDescent="0.3">
      <c r="H26" t="str">
        <f t="shared" si="1"/>
        <v>https://epaper.loksatta.com/4205799/Pune/02-10-2026#dual/6/1</v>
      </c>
    </row>
    <row r="27" spans="6:8" x14ac:dyDescent="0.3">
      <c r="H27" t="str">
        <f t="shared" si="1"/>
        <v>https://epaper.loksatta.com/4205799/Pune/02-10-2026#dual/8/1</v>
      </c>
    </row>
    <row r="28" spans="6:8" x14ac:dyDescent="0.3">
      <c r="H28" t="str">
        <f t="shared" si="1"/>
        <v>https://epaper.loksatta.com/4205799/Pune/02-10-2026#dual/10/1</v>
      </c>
    </row>
    <row r="29" spans="6:8" x14ac:dyDescent="0.3">
      <c r="H29" t="str">
        <f t="shared" si="1"/>
        <v>https://epaper.loksatta.com/4205799/Pune/02-10-2026#dual/12/1</v>
      </c>
    </row>
    <row r="30" spans="6:8" x14ac:dyDescent="0.3">
      <c r="H30" t="str">
        <f t="shared" si="1"/>
        <v>https://epaper.loksatta.com/4205799/Pune/02-10-2026#dual/14/1</v>
      </c>
    </row>
    <row r="31" spans="6:8" x14ac:dyDescent="0.3">
      <c r="H31" t="str">
        <f t="shared" si="1"/>
        <v>https://epaper.loksatta.com/4205799/Pune/02-10-2026#dual/16/1</v>
      </c>
    </row>
    <row r="32" spans="6:8" x14ac:dyDescent="0.3">
      <c r="H32" t="str">
        <f t="shared" si="1"/>
        <v>https://epaper.loksatta.com/4205799/Pune/02-10-2026#dual/18/1</v>
      </c>
    </row>
    <row r="33" spans="8:8" x14ac:dyDescent="0.3">
      <c r="H33" t="str">
        <f t="shared" si="1"/>
        <v>https://epaper.loksatta.com/4205799/Pune/02-10-2026#dual/20/1</v>
      </c>
    </row>
    <row r="34" spans="8:8" x14ac:dyDescent="0.3">
      <c r="H34" t="str">
        <f>CONCATENATE($A$3,$B$4,$C$4,$D$3,$E$3,F14,$G$3)</f>
        <v>https://epaper.loksatta.com/4205799/Pune/02-10-2026#dual/22/1</v>
      </c>
    </row>
    <row r="35" spans="8:8" x14ac:dyDescent="0.3">
      <c r="H35" t="str">
        <f t="shared" si="1"/>
        <v>https://epaper.loksatta.com/4205799/Pune/02-10-2026#dual/24/1</v>
      </c>
    </row>
    <row r="36" spans="8:8" x14ac:dyDescent="0.3">
      <c r="H36" t="str">
        <f t="shared" si="1"/>
        <v>https://epaper.loksatta.com/4205799/Pune/02-10-2026#dual/26/1</v>
      </c>
    </row>
    <row r="37" spans="8:8" x14ac:dyDescent="0.3">
      <c r="H37" t="str">
        <f t="shared" si="1"/>
        <v>https://epaper.loksatta.com/4205799/Pune/02-10-2026#dual/28/1</v>
      </c>
    </row>
    <row r="38" spans="8:8" x14ac:dyDescent="0.3">
      <c r="H38" t="str">
        <f t="shared" si="1"/>
        <v>https://epaper.loksatta.com/4205799/Pune/02-10-2026#dual/30/1</v>
      </c>
    </row>
    <row r="39" spans="8:8" x14ac:dyDescent="0.3">
      <c r="H39" t="str">
        <f>CONCATENATE($A$3,$B$4,$C$4,$D$3,$E$3,F19,$G$3)</f>
        <v>https://epaper.loksatta.com/4205799/Pune/02-10-2026#dual/32/1</v>
      </c>
    </row>
    <row r="40" spans="8:8" x14ac:dyDescent="0.3">
      <c r="H40" t="str">
        <f t="shared" si="1"/>
        <v>https://epaper.loksatta.com/4205799/Pune/02-10-2026#dual/34/1</v>
      </c>
    </row>
    <row r="41" spans="8:8" x14ac:dyDescent="0.3">
      <c r="H41" t="str">
        <f t="shared" si="1"/>
        <v>https://epaper.loksatta.com/4205799/Pune/02-10-2026#dual/36/1</v>
      </c>
    </row>
    <row r="43" spans="8:8" x14ac:dyDescent="0.3">
      <c r="H43" t="str">
        <f>CONCATENATE($A$3,$B$5,$C$5,$D$3,$E$3,F3,$G$3)</f>
        <v>https://epaper.loksatta.com/4205800/Nagpur/02-10-2026#dual/1/1</v>
      </c>
    </row>
    <row r="44" spans="8:8" x14ac:dyDescent="0.3">
      <c r="H44" t="str">
        <f t="shared" ref="H44:H60" si="2">CONCATENATE($A$3,$B$5,$C$5,$D$3,$E$3,F4,$G$3)</f>
        <v>https://epaper.loksatta.com/4205800/Nagpur/02-10-2026#dual/2/1</v>
      </c>
    </row>
    <row r="45" spans="8:8" x14ac:dyDescent="0.3">
      <c r="H45" t="str">
        <f t="shared" si="2"/>
        <v>https://epaper.loksatta.com/4205800/Nagpur/02-10-2026#dual/4/1</v>
      </c>
    </row>
    <row r="46" spans="8:8" x14ac:dyDescent="0.3">
      <c r="H46" t="str">
        <f t="shared" si="2"/>
        <v>https://epaper.loksatta.com/4205800/Nagpur/02-10-2026#dual/6/1</v>
      </c>
    </row>
    <row r="47" spans="8:8" x14ac:dyDescent="0.3">
      <c r="H47" t="str">
        <f t="shared" si="2"/>
        <v>https://epaper.loksatta.com/4205800/Nagpur/02-10-2026#dual/8/1</v>
      </c>
    </row>
    <row r="48" spans="8:8" x14ac:dyDescent="0.3">
      <c r="H48" t="str">
        <f t="shared" si="2"/>
        <v>https://epaper.loksatta.com/4205800/Nagpur/02-10-2026#dual/10/1</v>
      </c>
    </row>
    <row r="49" spans="8:8" x14ac:dyDescent="0.3">
      <c r="H49" t="str">
        <f t="shared" si="2"/>
        <v>https://epaper.loksatta.com/4205800/Nagpur/02-10-2026#dual/12/1</v>
      </c>
    </row>
    <row r="50" spans="8:8" x14ac:dyDescent="0.3">
      <c r="H50" t="str">
        <f t="shared" si="2"/>
        <v>https://epaper.loksatta.com/4205800/Nagpur/02-10-2026#dual/14/1</v>
      </c>
    </row>
    <row r="51" spans="8:8" x14ac:dyDescent="0.3">
      <c r="H51" t="str">
        <f t="shared" si="2"/>
        <v>https://epaper.loksatta.com/4205800/Nagpur/02-10-2026#dual/16/1</v>
      </c>
    </row>
    <row r="52" spans="8:8" x14ac:dyDescent="0.3">
      <c r="H52" t="str">
        <f t="shared" si="2"/>
        <v>https://epaper.loksatta.com/4205800/Nagpur/02-10-2026#dual/18/1</v>
      </c>
    </row>
    <row r="53" spans="8:8" x14ac:dyDescent="0.3">
      <c r="H53" t="str">
        <f t="shared" si="2"/>
        <v>https://epaper.loksatta.com/4205800/Nagpur/02-10-2026#dual/20/1</v>
      </c>
    </row>
    <row r="54" spans="8:8" x14ac:dyDescent="0.3">
      <c r="H54" t="str">
        <f t="shared" si="2"/>
        <v>https://epaper.loksatta.com/4205800/Nagpur/02-10-2026#dual/22/1</v>
      </c>
    </row>
    <row r="55" spans="8:8" x14ac:dyDescent="0.3">
      <c r="H55" t="str">
        <f t="shared" si="2"/>
        <v>https://epaper.loksatta.com/4205800/Nagpur/02-10-2026#dual/24/1</v>
      </c>
    </row>
    <row r="56" spans="8:8" x14ac:dyDescent="0.3">
      <c r="H56" t="str">
        <f t="shared" si="2"/>
        <v>https://epaper.loksatta.com/4205800/Nagpur/02-10-2026#dual/26/1</v>
      </c>
    </row>
    <row r="57" spans="8:8" x14ac:dyDescent="0.3">
      <c r="H57" t="str">
        <f t="shared" si="2"/>
        <v>https://epaper.loksatta.com/4205800/Nagpur/02-10-2026#dual/28/1</v>
      </c>
    </row>
    <row r="58" spans="8:8" x14ac:dyDescent="0.3">
      <c r="H58" t="str">
        <f t="shared" si="2"/>
        <v>https://epaper.loksatta.com/4205800/Nagpur/02-10-2026#dual/30/1</v>
      </c>
    </row>
    <row r="59" spans="8:8" x14ac:dyDescent="0.3">
      <c r="H59" t="str">
        <f t="shared" si="2"/>
        <v>https://epaper.loksatta.com/4205800/Nagpur/02-10-2026#dual/32/1</v>
      </c>
    </row>
    <row r="60" spans="8:8" x14ac:dyDescent="0.3">
      <c r="H60" t="str">
        <f t="shared" si="2"/>
        <v>https://epaper.loksatta.com/4205800/Nagpur/02-10-2026#dual/34/1</v>
      </c>
    </row>
    <row r="61" spans="8:8" x14ac:dyDescent="0.3">
      <c r="H61" t="str">
        <f>CONCATENATE($A$3,$B$5,$C$5,$D$3,$E$3,F21,$G$3)</f>
        <v>https://epaper.loksatta.com/4205800/Nagpur/02-10-2026#dual/36/1</v>
      </c>
    </row>
    <row r="63" spans="8:8" x14ac:dyDescent="0.3">
      <c r="H63" t="str">
        <f>CONCATENATE($A$3,$B$6,$C$6,$D$3,$E$3,F1,$G$3)</f>
        <v>https://epaper.loksatta.com/4205822/Nasik/02-10-2026#dual//1</v>
      </c>
    </row>
    <row r="64" spans="8:8" x14ac:dyDescent="0.3">
      <c r="H64" t="str">
        <f t="shared" ref="H64:H83" si="3">CONCATENATE($A$3,$B$6,$C$6,$D$3,$E$3,F2,$G$3)</f>
        <v>https://epaper.loksatta.com/4205822/Nasik/02-10-2026#dual//1</v>
      </c>
    </row>
    <row r="65" spans="8:8" x14ac:dyDescent="0.3">
      <c r="H65" t="str">
        <f t="shared" si="3"/>
        <v>https://epaper.loksatta.com/4205822/Nasik/02-10-2026#dual/1/1</v>
      </c>
    </row>
    <row r="66" spans="8:8" x14ac:dyDescent="0.3">
      <c r="H66" t="str">
        <f t="shared" si="3"/>
        <v>https://epaper.loksatta.com/4205822/Nasik/02-10-2026#dual/2/1</v>
      </c>
    </row>
    <row r="67" spans="8:8" x14ac:dyDescent="0.3">
      <c r="H67" t="str">
        <f t="shared" si="3"/>
        <v>https://epaper.loksatta.com/4205822/Nasik/02-10-2026#dual/4/1</v>
      </c>
    </row>
    <row r="68" spans="8:8" x14ac:dyDescent="0.3">
      <c r="H68" t="str">
        <f t="shared" si="3"/>
        <v>https://epaper.loksatta.com/4205822/Nasik/02-10-2026#dual/6/1</v>
      </c>
    </row>
    <row r="69" spans="8:8" x14ac:dyDescent="0.3">
      <c r="H69" t="str">
        <f t="shared" si="3"/>
        <v>https://epaper.loksatta.com/4205822/Nasik/02-10-2026#dual/8/1</v>
      </c>
    </row>
    <row r="70" spans="8:8" x14ac:dyDescent="0.3">
      <c r="H70" t="str">
        <f t="shared" si="3"/>
        <v>https://epaper.loksatta.com/4205822/Nasik/02-10-2026#dual/10/1</v>
      </c>
    </row>
    <row r="71" spans="8:8" x14ac:dyDescent="0.3">
      <c r="H71" t="str">
        <f t="shared" si="3"/>
        <v>https://epaper.loksatta.com/4205822/Nasik/02-10-2026#dual/12/1</v>
      </c>
    </row>
    <row r="72" spans="8:8" x14ac:dyDescent="0.3">
      <c r="H72" t="str">
        <f t="shared" si="3"/>
        <v>https://epaper.loksatta.com/4205822/Nasik/02-10-2026#dual/14/1</v>
      </c>
    </row>
    <row r="73" spans="8:8" x14ac:dyDescent="0.3">
      <c r="H73" t="str">
        <f t="shared" si="3"/>
        <v>https://epaper.loksatta.com/4205822/Nasik/02-10-2026#dual/16/1</v>
      </c>
    </row>
    <row r="74" spans="8:8" x14ac:dyDescent="0.3">
      <c r="H74" t="str">
        <f t="shared" si="3"/>
        <v>https://epaper.loksatta.com/4205822/Nasik/02-10-2026#dual/18/1</v>
      </c>
    </row>
    <row r="75" spans="8:8" x14ac:dyDescent="0.3">
      <c r="H75" t="str">
        <f t="shared" si="3"/>
        <v>https://epaper.loksatta.com/4205822/Nasik/02-10-2026#dual/20/1</v>
      </c>
    </row>
    <row r="76" spans="8:8" x14ac:dyDescent="0.3">
      <c r="H76" t="str">
        <f t="shared" si="3"/>
        <v>https://epaper.loksatta.com/4205822/Nasik/02-10-2026#dual/22/1</v>
      </c>
    </row>
    <row r="77" spans="8:8" x14ac:dyDescent="0.3">
      <c r="H77" t="str">
        <f t="shared" si="3"/>
        <v>https://epaper.loksatta.com/4205822/Nasik/02-10-2026#dual/24/1</v>
      </c>
    </row>
    <row r="78" spans="8:8" x14ac:dyDescent="0.3">
      <c r="H78" t="str">
        <f t="shared" si="3"/>
        <v>https://epaper.loksatta.com/4205822/Nasik/02-10-2026#dual/26/1</v>
      </c>
    </row>
    <row r="79" spans="8:8" x14ac:dyDescent="0.3">
      <c r="H79" t="str">
        <f t="shared" si="3"/>
        <v>https://epaper.loksatta.com/4205822/Nasik/02-10-2026#dual/28/1</v>
      </c>
    </row>
    <row r="80" spans="8:8" x14ac:dyDescent="0.3">
      <c r="H80" t="str">
        <f t="shared" si="3"/>
        <v>https://epaper.loksatta.com/4205822/Nasik/02-10-2026#dual/30/1</v>
      </c>
    </row>
    <row r="81" spans="8:8" x14ac:dyDescent="0.3">
      <c r="H81" t="str">
        <f t="shared" si="3"/>
        <v>https://epaper.loksatta.com/4205822/Nasik/02-10-2026#dual/32/1</v>
      </c>
    </row>
    <row r="82" spans="8:8" x14ac:dyDescent="0.3">
      <c r="H82" t="str">
        <f t="shared" si="3"/>
        <v>https://epaper.loksatta.com/4205822/Nasik/02-10-2026#dual/34/1</v>
      </c>
    </row>
    <row r="83" spans="8:8" x14ac:dyDescent="0.3">
      <c r="H83" t="str">
        <f t="shared" si="3"/>
        <v>https://epaper.loksatta.com/4205822/Nasik/02-10-2026#dual/36/1</v>
      </c>
    </row>
    <row r="85" spans="8:8" x14ac:dyDescent="0.3">
      <c r="H85" t="str">
        <f>CONCATENATE($A$3,$B$7,$C$7,$D$3,$E$3,F1,$G$3)</f>
        <v>https://epaper.loksatta.com/4205810/Chhatrapati-Sambhajinagar/02-10-2026#dual//1</v>
      </c>
    </row>
    <row r="86" spans="8:8" x14ac:dyDescent="0.3">
      <c r="H86" t="str">
        <f t="shared" ref="H86:H105" si="4">CONCATENATE($A$3,$B$7,$C$7,$D$3,$E$3,F2,$G$3)</f>
        <v>https://epaper.loksatta.com/4205810/Chhatrapati-Sambhajinagar/02-10-2026#dual//1</v>
      </c>
    </row>
    <row r="87" spans="8:8" x14ac:dyDescent="0.3">
      <c r="H87" t="str">
        <f t="shared" si="4"/>
        <v>https://epaper.loksatta.com/4205810/Chhatrapati-Sambhajinagar/02-10-2026#dual/1/1</v>
      </c>
    </row>
    <row r="88" spans="8:8" x14ac:dyDescent="0.3">
      <c r="H88" t="str">
        <f t="shared" si="4"/>
        <v>https://epaper.loksatta.com/4205810/Chhatrapati-Sambhajinagar/02-10-2026#dual/2/1</v>
      </c>
    </row>
    <row r="89" spans="8:8" x14ac:dyDescent="0.3">
      <c r="H89" t="str">
        <f t="shared" si="4"/>
        <v>https://epaper.loksatta.com/4205810/Chhatrapati-Sambhajinagar/02-10-2026#dual/4/1</v>
      </c>
    </row>
    <row r="90" spans="8:8" x14ac:dyDescent="0.3">
      <c r="H90" t="str">
        <f t="shared" si="4"/>
        <v>https://epaper.loksatta.com/4205810/Chhatrapati-Sambhajinagar/02-10-2026#dual/6/1</v>
      </c>
    </row>
    <row r="91" spans="8:8" x14ac:dyDescent="0.3">
      <c r="H91" t="str">
        <f t="shared" si="4"/>
        <v>https://epaper.loksatta.com/4205810/Chhatrapati-Sambhajinagar/02-10-2026#dual/8/1</v>
      </c>
    </row>
    <row r="92" spans="8:8" x14ac:dyDescent="0.3">
      <c r="H92" t="str">
        <f t="shared" si="4"/>
        <v>https://epaper.loksatta.com/4205810/Chhatrapati-Sambhajinagar/02-10-2026#dual/10/1</v>
      </c>
    </row>
    <row r="93" spans="8:8" x14ac:dyDescent="0.3">
      <c r="H93" t="str">
        <f t="shared" si="4"/>
        <v>https://epaper.loksatta.com/4205810/Chhatrapati-Sambhajinagar/02-10-2026#dual/12/1</v>
      </c>
    </row>
    <row r="94" spans="8:8" x14ac:dyDescent="0.3">
      <c r="H94" t="str">
        <f t="shared" si="4"/>
        <v>https://epaper.loksatta.com/4205810/Chhatrapati-Sambhajinagar/02-10-2026#dual/14/1</v>
      </c>
    </row>
    <row r="95" spans="8:8" x14ac:dyDescent="0.3">
      <c r="H95" t="str">
        <f t="shared" si="4"/>
        <v>https://epaper.loksatta.com/4205810/Chhatrapati-Sambhajinagar/02-10-2026#dual/16/1</v>
      </c>
    </row>
    <row r="96" spans="8:8" x14ac:dyDescent="0.3">
      <c r="H96" t="str">
        <f t="shared" si="4"/>
        <v>https://epaper.loksatta.com/4205810/Chhatrapati-Sambhajinagar/02-10-2026#dual/18/1</v>
      </c>
    </row>
    <row r="97" spans="8:8" x14ac:dyDescent="0.3">
      <c r="H97" t="str">
        <f t="shared" si="4"/>
        <v>https://epaper.loksatta.com/4205810/Chhatrapati-Sambhajinagar/02-10-2026#dual/20/1</v>
      </c>
    </row>
    <row r="98" spans="8:8" x14ac:dyDescent="0.3">
      <c r="H98" t="str">
        <f t="shared" si="4"/>
        <v>https://epaper.loksatta.com/4205810/Chhatrapati-Sambhajinagar/02-10-2026#dual/22/1</v>
      </c>
    </row>
    <row r="99" spans="8:8" x14ac:dyDescent="0.3">
      <c r="H99" t="str">
        <f t="shared" si="4"/>
        <v>https://epaper.loksatta.com/4205810/Chhatrapati-Sambhajinagar/02-10-2026#dual/24/1</v>
      </c>
    </row>
    <row r="100" spans="8:8" x14ac:dyDescent="0.3">
      <c r="H100" t="str">
        <f t="shared" si="4"/>
        <v>https://epaper.loksatta.com/4205810/Chhatrapati-Sambhajinagar/02-10-2026#dual/26/1</v>
      </c>
    </row>
    <row r="101" spans="8:8" x14ac:dyDescent="0.3">
      <c r="H101" t="str">
        <f t="shared" si="4"/>
        <v>https://epaper.loksatta.com/4205810/Chhatrapati-Sambhajinagar/02-10-2026#dual/28/1</v>
      </c>
    </row>
    <row r="102" spans="8:8" x14ac:dyDescent="0.3">
      <c r="H102" t="str">
        <f t="shared" si="4"/>
        <v>https://epaper.loksatta.com/4205810/Chhatrapati-Sambhajinagar/02-10-2026#dual/30/1</v>
      </c>
    </row>
    <row r="103" spans="8:8" x14ac:dyDescent="0.3">
      <c r="H103" t="str">
        <f>CONCATENATE($A$3,$B$7,$C$7,$D$3,$E$3,F19,$G$3)</f>
        <v>https://epaper.loksatta.com/4205810/Chhatrapati-Sambhajinagar/02-10-2026#dual/32/1</v>
      </c>
    </row>
    <row r="104" spans="8:8" x14ac:dyDescent="0.3">
      <c r="H104" t="str">
        <f t="shared" si="4"/>
        <v>https://epaper.loksatta.com/4205810/Chhatrapati-Sambhajinagar/02-10-2026#dual/34/1</v>
      </c>
    </row>
    <row r="105" spans="8:8" x14ac:dyDescent="0.3">
      <c r="H105" t="str">
        <f t="shared" si="4"/>
        <v>https://epaper.loksatta.com/4205810/Chhatrapati-Sambhajinagar/02-10-2026#dual/36/1</v>
      </c>
    </row>
    <row r="107" spans="8:8" x14ac:dyDescent="0.3">
      <c r="H107" t="str">
        <f>CONCATENATE($A$3,$B$8,$C$8,$D$3,$E$3,F1,$G$3)</f>
        <v>https://epaper.loksatta.com/4205815/Ahilyanagar/02-10-2026#dual//1</v>
      </c>
    </row>
    <row r="108" spans="8:8" x14ac:dyDescent="0.3">
      <c r="H108" t="str">
        <f t="shared" ref="H108:H127" si="5">CONCATENATE($A$3,$B$8,$C$8,$D$3,$E$3,F2,$G$3)</f>
        <v>https://epaper.loksatta.com/4205815/Ahilyanagar/02-10-2026#dual//1</v>
      </c>
    </row>
    <row r="109" spans="8:8" x14ac:dyDescent="0.3">
      <c r="H109" t="str">
        <f t="shared" si="5"/>
        <v>https://epaper.loksatta.com/4205815/Ahilyanagar/02-10-2026#dual/1/1</v>
      </c>
    </row>
    <row r="110" spans="8:8" x14ac:dyDescent="0.3">
      <c r="H110" t="str">
        <f t="shared" si="5"/>
        <v>https://epaper.loksatta.com/4205815/Ahilyanagar/02-10-2026#dual/2/1</v>
      </c>
    </row>
    <row r="111" spans="8:8" x14ac:dyDescent="0.3">
      <c r="H111" t="str">
        <f t="shared" si="5"/>
        <v>https://epaper.loksatta.com/4205815/Ahilyanagar/02-10-2026#dual/4/1</v>
      </c>
    </row>
    <row r="112" spans="8:8" x14ac:dyDescent="0.3">
      <c r="H112" t="str">
        <f t="shared" si="5"/>
        <v>https://epaper.loksatta.com/4205815/Ahilyanagar/02-10-2026#dual/6/1</v>
      </c>
    </row>
    <row r="113" spans="8:8" x14ac:dyDescent="0.3">
      <c r="H113" t="str">
        <f t="shared" si="5"/>
        <v>https://epaper.loksatta.com/4205815/Ahilyanagar/02-10-2026#dual/8/1</v>
      </c>
    </row>
    <row r="114" spans="8:8" x14ac:dyDescent="0.3">
      <c r="H114" t="str">
        <f t="shared" si="5"/>
        <v>https://epaper.loksatta.com/4205815/Ahilyanagar/02-10-2026#dual/10/1</v>
      </c>
    </row>
    <row r="115" spans="8:8" x14ac:dyDescent="0.3">
      <c r="H115" t="str">
        <f t="shared" si="5"/>
        <v>https://epaper.loksatta.com/4205815/Ahilyanagar/02-10-2026#dual/12/1</v>
      </c>
    </row>
    <row r="116" spans="8:8" x14ac:dyDescent="0.3">
      <c r="H116" t="str">
        <f t="shared" si="5"/>
        <v>https://epaper.loksatta.com/4205815/Ahilyanagar/02-10-2026#dual/14/1</v>
      </c>
    </row>
    <row r="117" spans="8:8" x14ac:dyDescent="0.3">
      <c r="H117" t="str">
        <f t="shared" si="5"/>
        <v>https://epaper.loksatta.com/4205815/Ahilyanagar/02-10-2026#dual/16/1</v>
      </c>
    </row>
    <row r="118" spans="8:8" x14ac:dyDescent="0.3">
      <c r="H118" t="str">
        <f t="shared" si="5"/>
        <v>https://epaper.loksatta.com/4205815/Ahilyanagar/02-10-2026#dual/18/1</v>
      </c>
    </row>
    <row r="119" spans="8:8" x14ac:dyDescent="0.3">
      <c r="H119" t="str">
        <f t="shared" si="5"/>
        <v>https://epaper.loksatta.com/4205815/Ahilyanagar/02-10-2026#dual/20/1</v>
      </c>
    </row>
    <row r="120" spans="8:8" x14ac:dyDescent="0.3">
      <c r="H120" t="str">
        <f t="shared" si="5"/>
        <v>https://epaper.loksatta.com/4205815/Ahilyanagar/02-10-2026#dual/22/1</v>
      </c>
    </row>
    <row r="121" spans="8:8" x14ac:dyDescent="0.3">
      <c r="H121" t="str">
        <f t="shared" si="5"/>
        <v>https://epaper.loksatta.com/4205815/Ahilyanagar/02-10-2026#dual/24/1</v>
      </c>
    </row>
    <row r="122" spans="8:8" x14ac:dyDescent="0.3">
      <c r="H122" t="str">
        <f t="shared" si="5"/>
        <v>https://epaper.loksatta.com/4205815/Ahilyanagar/02-10-2026#dual/26/1</v>
      </c>
    </row>
    <row r="123" spans="8:8" x14ac:dyDescent="0.3">
      <c r="H123" t="str">
        <f t="shared" si="5"/>
        <v>https://epaper.loksatta.com/4205815/Ahilyanagar/02-10-2026#dual/28/1</v>
      </c>
    </row>
    <row r="124" spans="8:8" x14ac:dyDescent="0.3">
      <c r="H124" t="str">
        <f t="shared" si="5"/>
        <v>https://epaper.loksatta.com/4205815/Ahilyanagar/02-10-2026#dual/30/1</v>
      </c>
    </row>
    <row r="125" spans="8:8" x14ac:dyDescent="0.3">
      <c r="H125" t="str">
        <f t="shared" si="5"/>
        <v>https://epaper.loksatta.com/4205815/Ahilyanagar/02-10-2026#dual/32/1</v>
      </c>
    </row>
    <row r="126" spans="8:8" x14ac:dyDescent="0.3">
      <c r="H126" t="str">
        <f t="shared" si="5"/>
        <v>https://epaper.loksatta.com/4205815/Ahilyanagar/02-10-2026#dual/34/1</v>
      </c>
    </row>
    <row r="127" spans="8:8" x14ac:dyDescent="0.3">
      <c r="H127" t="str">
        <f t="shared" si="5"/>
        <v>https://epaper.loksatta.com/4205815/Ahilyanagar/02-10-2026#dual/36/1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5"/>
  <sheetViews>
    <sheetView tabSelected="1" workbookViewId="0">
      <selection activeCell="A6" sqref="A6"/>
    </sheetView>
  </sheetViews>
  <sheetFormatPr defaultRowHeight="14.4" x14ac:dyDescent="0.3"/>
  <cols>
    <col min="5" max="5" width="61.6640625" customWidth="1"/>
    <col min="7" max="7" width="74.77734375" customWidth="1"/>
  </cols>
  <sheetData>
    <row r="1" spans="1:7" x14ac:dyDescent="0.3">
      <c r="A1" s="7"/>
      <c r="B1" s="7"/>
    </row>
    <row r="3" spans="1:7" x14ac:dyDescent="0.3">
      <c r="A3" s="1" t="s">
        <v>74</v>
      </c>
      <c r="B3" t="s">
        <v>48</v>
      </c>
      <c r="C3" t="s">
        <v>73</v>
      </c>
      <c r="D3">
        <v>1</v>
      </c>
      <c r="E3" t="str">
        <f>CONCATENATE($A$3,$B$3,$C$3,D3)</f>
        <v>https://epaper.pudhari.news/edition/maineidition/PUDHARI_THE/page/1</v>
      </c>
      <c r="G3" t="s">
        <v>76</v>
      </c>
    </row>
    <row r="4" spans="1:7" x14ac:dyDescent="0.3">
      <c r="B4" t="s">
        <v>28</v>
      </c>
      <c r="D4">
        <v>2</v>
      </c>
      <c r="E4" t="str">
        <f>CONCATENATE($A$3,$B$3,$C$3,D4)</f>
        <v>https://epaper.pudhari.news/edition/maineidition/PUDHARI_THE/page/2</v>
      </c>
      <c r="G4" t="s">
        <v>77</v>
      </c>
    </row>
    <row r="5" spans="1:7" x14ac:dyDescent="0.3">
      <c r="B5" t="s">
        <v>49</v>
      </c>
      <c r="D5">
        <v>3</v>
      </c>
      <c r="E5" t="str">
        <f t="shared" ref="E5:E18" si="0">CONCATENATE($A$3,$B$3,$C$3,D5)</f>
        <v>https://epaper.pudhari.news/edition/maineidition/PUDHARI_THE/page/3</v>
      </c>
      <c r="G5" t="s">
        <v>78</v>
      </c>
    </row>
    <row r="6" spans="1:7" x14ac:dyDescent="0.3">
      <c r="B6" t="s">
        <v>29</v>
      </c>
      <c r="D6">
        <v>4</v>
      </c>
      <c r="E6" t="str">
        <f t="shared" si="0"/>
        <v>https://epaper.pudhari.news/edition/maineidition/PUDHARI_THE/page/4</v>
      </c>
      <c r="G6" t="s">
        <v>79</v>
      </c>
    </row>
    <row r="7" spans="1:7" x14ac:dyDescent="0.3">
      <c r="B7" t="s">
        <v>30</v>
      </c>
      <c r="D7">
        <v>5</v>
      </c>
      <c r="E7" t="str">
        <f t="shared" si="0"/>
        <v>https://epaper.pudhari.news/edition/maineidition/PUDHARI_THE/page/5</v>
      </c>
      <c r="G7" t="s">
        <v>80</v>
      </c>
    </row>
    <row r="8" spans="1:7" x14ac:dyDescent="0.3">
      <c r="B8" t="s">
        <v>31</v>
      </c>
      <c r="D8">
        <v>6</v>
      </c>
      <c r="E8" t="str">
        <f t="shared" si="0"/>
        <v>https://epaper.pudhari.news/edition/maineidition/PUDHARI_THE/page/6</v>
      </c>
      <c r="G8" t="s">
        <v>81</v>
      </c>
    </row>
    <row r="9" spans="1:7" x14ac:dyDescent="0.3">
      <c r="B9" t="s">
        <v>32</v>
      </c>
      <c r="D9">
        <v>7</v>
      </c>
      <c r="E9" t="str">
        <f t="shared" si="0"/>
        <v>https://epaper.pudhari.news/edition/maineidition/PUDHARI_THE/page/7</v>
      </c>
      <c r="G9" t="s">
        <v>82</v>
      </c>
    </row>
    <row r="10" spans="1:7" x14ac:dyDescent="0.3">
      <c r="B10" t="s">
        <v>33</v>
      </c>
      <c r="D10">
        <v>8</v>
      </c>
      <c r="E10" t="str">
        <f t="shared" si="0"/>
        <v>https://epaper.pudhari.news/edition/maineidition/PUDHARI_THE/page/8</v>
      </c>
      <c r="G10" t="s">
        <v>83</v>
      </c>
    </row>
    <row r="11" spans="1:7" x14ac:dyDescent="0.3">
      <c r="B11" t="s">
        <v>34</v>
      </c>
      <c r="D11">
        <v>9</v>
      </c>
      <c r="E11" t="str">
        <f t="shared" si="0"/>
        <v>https://epaper.pudhari.news/edition/maineidition/PUDHARI_THE/page/9</v>
      </c>
      <c r="G11" t="s">
        <v>84</v>
      </c>
    </row>
    <row r="12" spans="1:7" x14ac:dyDescent="0.3">
      <c r="B12" t="s">
        <v>35</v>
      </c>
      <c r="D12">
        <v>10</v>
      </c>
      <c r="E12" t="str">
        <f t="shared" si="0"/>
        <v>https://epaper.pudhari.news/edition/maineidition/PUDHARI_THE/page/10</v>
      </c>
      <c r="G12" t="s">
        <v>85</v>
      </c>
    </row>
    <row r="13" spans="1:7" x14ac:dyDescent="0.3">
      <c r="B13" t="s">
        <v>36</v>
      </c>
      <c r="D13">
        <v>11</v>
      </c>
      <c r="E13" t="str">
        <f t="shared" si="0"/>
        <v>https://epaper.pudhari.news/edition/maineidition/PUDHARI_THE/page/11</v>
      </c>
      <c r="G13" t="s">
        <v>86</v>
      </c>
    </row>
    <row r="14" spans="1:7" x14ac:dyDescent="0.3">
      <c r="B14" t="s">
        <v>37</v>
      </c>
      <c r="D14">
        <v>12</v>
      </c>
      <c r="E14" t="str">
        <f t="shared" si="0"/>
        <v>https://epaper.pudhari.news/edition/maineidition/PUDHARI_THE/page/12</v>
      </c>
      <c r="G14" t="s">
        <v>87</v>
      </c>
    </row>
    <row r="15" spans="1:7" x14ac:dyDescent="0.3">
      <c r="B15" t="s">
        <v>38</v>
      </c>
      <c r="D15">
        <v>13</v>
      </c>
      <c r="E15" t="str">
        <f t="shared" si="0"/>
        <v>https://epaper.pudhari.news/edition/maineidition/PUDHARI_THE/page/13</v>
      </c>
      <c r="G15" t="s">
        <v>88</v>
      </c>
    </row>
    <row r="16" spans="1:7" x14ac:dyDescent="0.3">
      <c r="B16" t="s">
        <v>39</v>
      </c>
      <c r="D16">
        <v>14</v>
      </c>
      <c r="E16" t="str">
        <f t="shared" si="0"/>
        <v>https://epaper.pudhari.news/edition/maineidition/PUDHARI_THE/page/14</v>
      </c>
      <c r="G16" t="s">
        <v>89</v>
      </c>
    </row>
    <row r="17" spans="2:7" x14ac:dyDescent="0.3">
      <c r="B17" t="s">
        <v>40</v>
      </c>
      <c r="D17">
        <v>15</v>
      </c>
      <c r="E17" t="str">
        <f t="shared" si="0"/>
        <v>https://epaper.pudhari.news/edition/maineidition/PUDHARI_THE/page/15</v>
      </c>
      <c r="G17" t="s">
        <v>90</v>
      </c>
    </row>
    <row r="18" spans="2:7" x14ac:dyDescent="0.3">
      <c r="B18" t="s">
        <v>41</v>
      </c>
      <c r="D18">
        <v>16</v>
      </c>
      <c r="E18" t="str">
        <f t="shared" si="0"/>
        <v>https://epaper.pudhari.news/edition/maineidition/PUDHARI_THE/page/16</v>
      </c>
      <c r="G18" t="s">
        <v>91</v>
      </c>
    </row>
    <row r="19" spans="2:7" x14ac:dyDescent="0.3">
      <c r="B19" t="s">
        <v>42</v>
      </c>
    </row>
    <row r="20" spans="2:7" x14ac:dyDescent="0.3">
      <c r="B20" t="s">
        <v>43</v>
      </c>
      <c r="E20" t="str">
        <f>CONCATENATE($A$3,$B$4,$C$3,D3)</f>
        <v>https://epaper.pudhari.news/edition/maineidition/PUDHARI_MUM/page/1</v>
      </c>
      <c r="G20" t="s">
        <v>92</v>
      </c>
    </row>
    <row r="21" spans="2:7" x14ac:dyDescent="0.3">
      <c r="B21" t="s">
        <v>75</v>
      </c>
      <c r="E21" t="str">
        <f t="shared" ref="E21:E35" si="1">CONCATENATE($A$3,$B$4,$C$3,D4)</f>
        <v>https://epaper.pudhari.news/edition/maineidition/PUDHARI_MUM/page/2</v>
      </c>
      <c r="G21" t="s">
        <v>93</v>
      </c>
    </row>
    <row r="22" spans="2:7" x14ac:dyDescent="0.3">
      <c r="B22" t="s">
        <v>44</v>
      </c>
      <c r="E22" t="str">
        <f t="shared" si="1"/>
        <v>https://epaper.pudhari.news/edition/maineidition/PUDHARI_MUM/page/3</v>
      </c>
      <c r="G22" t="s">
        <v>94</v>
      </c>
    </row>
    <row r="23" spans="2:7" x14ac:dyDescent="0.3">
      <c r="B23" t="s">
        <v>45</v>
      </c>
      <c r="E23" t="str">
        <f t="shared" si="1"/>
        <v>https://epaper.pudhari.news/edition/maineidition/PUDHARI_MUM/page/4</v>
      </c>
      <c r="G23" t="s">
        <v>95</v>
      </c>
    </row>
    <row r="24" spans="2:7" x14ac:dyDescent="0.3">
      <c r="B24" t="s">
        <v>46</v>
      </c>
      <c r="E24" t="str">
        <f t="shared" si="1"/>
        <v>https://epaper.pudhari.news/edition/maineidition/PUDHARI_MUM/page/5</v>
      </c>
      <c r="G24" t="s">
        <v>96</v>
      </c>
    </row>
    <row r="25" spans="2:7" x14ac:dyDescent="0.3">
      <c r="B25" t="s">
        <v>47</v>
      </c>
      <c r="E25" t="str">
        <f t="shared" si="1"/>
        <v>https://epaper.pudhari.news/edition/maineidition/PUDHARI_MUM/page/6</v>
      </c>
      <c r="G25" t="s">
        <v>97</v>
      </c>
    </row>
    <row r="26" spans="2:7" x14ac:dyDescent="0.3">
      <c r="E26" t="str">
        <f t="shared" si="1"/>
        <v>https://epaper.pudhari.news/edition/maineidition/PUDHARI_MUM/page/7</v>
      </c>
      <c r="G26" t="s">
        <v>98</v>
      </c>
    </row>
    <row r="27" spans="2:7" x14ac:dyDescent="0.3">
      <c r="E27" t="str">
        <f t="shared" si="1"/>
        <v>https://epaper.pudhari.news/edition/maineidition/PUDHARI_MUM/page/8</v>
      </c>
      <c r="G27" t="s">
        <v>99</v>
      </c>
    </row>
    <row r="28" spans="2:7" x14ac:dyDescent="0.3">
      <c r="E28" t="str">
        <f t="shared" si="1"/>
        <v>https://epaper.pudhari.news/edition/maineidition/PUDHARI_MUM/page/9</v>
      </c>
      <c r="G28" t="s">
        <v>100</v>
      </c>
    </row>
    <row r="29" spans="2:7" x14ac:dyDescent="0.3">
      <c r="E29" t="str">
        <f t="shared" si="1"/>
        <v>https://epaper.pudhari.news/edition/maineidition/PUDHARI_MUM/page/10</v>
      </c>
      <c r="G29" t="s">
        <v>101</v>
      </c>
    </row>
    <row r="30" spans="2:7" x14ac:dyDescent="0.3">
      <c r="E30" t="str">
        <f t="shared" si="1"/>
        <v>https://epaper.pudhari.news/edition/maineidition/PUDHARI_MUM/page/11</v>
      </c>
      <c r="G30" t="s">
        <v>102</v>
      </c>
    </row>
    <row r="31" spans="2:7" x14ac:dyDescent="0.3">
      <c r="E31" t="str">
        <f t="shared" si="1"/>
        <v>https://epaper.pudhari.news/edition/maineidition/PUDHARI_MUM/page/12</v>
      </c>
      <c r="G31" t="s">
        <v>103</v>
      </c>
    </row>
    <row r="32" spans="2:7" x14ac:dyDescent="0.3">
      <c r="E32" t="str">
        <f t="shared" si="1"/>
        <v>https://epaper.pudhari.news/edition/maineidition/PUDHARI_MUM/page/13</v>
      </c>
      <c r="G32" t="s">
        <v>104</v>
      </c>
    </row>
    <row r="33" spans="5:7" x14ac:dyDescent="0.3">
      <c r="E33" t="str">
        <f t="shared" si="1"/>
        <v>https://epaper.pudhari.news/edition/maineidition/PUDHARI_MUM/page/14</v>
      </c>
      <c r="G33" t="s">
        <v>105</v>
      </c>
    </row>
    <row r="34" spans="5:7" x14ac:dyDescent="0.3">
      <c r="E34" t="str">
        <f>CONCATENATE($A$3,$B$4,$C$3,D17)</f>
        <v>https://epaper.pudhari.news/edition/maineidition/PUDHARI_MUM/page/15</v>
      </c>
      <c r="G34" t="s">
        <v>106</v>
      </c>
    </row>
    <row r="35" spans="5:7" x14ac:dyDescent="0.3">
      <c r="E35" t="str">
        <f t="shared" si="1"/>
        <v>https://epaper.pudhari.news/edition/maineidition/PUDHARI_MUM/page/16</v>
      </c>
      <c r="G35" t="s">
        <v>107</v>
      </c>
    </row>
    <row r="37" spans="5:7" x14ac:dyDescent="0.3">
      <c r="E37" t="str">
        <f>CONCATENATE($A$3,$B$5,$C$3,D3)</f>
        <v>https://epaper.pudhari.news/edition/maineidition/PUDHARI_RGD/page/1</v>
      </c>
      <c r="G37" t="s">
        <v>108</v>
      </c>
    </row>
    <row r="38" spans="5:7" x14ac:dyDescent="0.3">
      <c r="E38" t="str">
        <f t="shared" ref="E38:E52" si="2">CONCATENATE($A$3,$B$5,$C$3,D4)</f>
        <v>https://epaper.pudhari.news/edition/maineidition/PUDHARI_RGD/page/2</v>
      </c>
      <c r="G38" t="s">
        <v>109</v>
      </c>
    </row>
    <row r="39" spans="5:7" x14ac:dyDescent="0.3">
      <c r="E39" t="str">
        <f t="shared" si="2"/>
        <v>https://epaper.pudhari.news/edition/maineidition/PUDHARI_RGD/page/3</v>
      </c>
      <c r="G39" t="s">
        <v>110</v>
      </c>
    </row>
    <row r="40" spans="5:7" x14ac:dyDescent="0.3">
      <c r="E40" t="str">
        <f t="shared" si="2"/>
        <v>https://epaper.pudhari.news/edition/maineidition/PUDHARI_RGD/page/4</v>
      </c>
      <c r="G40" t="s">
        <v>111</v>
      </c>
    </row>
    <row r="41" spans="5:7" x14ac:dyDescent="0.3">
      <c r="E41" t="str">
        <f t="shared" si="2"/>
        <v>https://epaper.pudhari.news/edition/maineidition/PUDHARI_RGD/page/5</v>
      </c>
      <c r="G41" t="s">
        <v>112</v>
      </c>
    </row>
    <row r="42" spans="5:7" x14ac:dyDescent="0.3">
      <c r="E42" t="str">
        <f t="shared" si="2"/>
        <v>https://epaper.pudhari.news/edition/maineidition/PUDHARI_RGD/page/6</v>
      </c>
      <c r="G42" t="s">
        <v>113</v>
      </c>
    </row>
    <row r="43" spans="5:7" x14ac:dyDescent="0.3">
      <c r="E43" t="str">
        <f t="shared" si="2"/>
        <v>https://epaper.pudhari.news/edition/maineidition/PUDHARI_RGD/page/7</v>
      </c>
      <c r="G43" t="s">
        <v>114</v>
      </c>
    </row>
    <row r="44" spans="5:7" x14ac:dyDescent="0.3">
      <c r="E44" t="str">
        <f t="shared" si="2"/>
        <v>https://epaper.pudhari.news/edition/maineidition/PUDHARI_RGD/page/8</v>
      </c>
      <c r="G44" t="s">
        <v>115</v>
      </c>
    </row>
    <row r="45" spans="5:7" x14ac:dyDescent="0.3">
      <c r="E45" t="str">
        <f t="shared" si="2"/>
        <v>https://epaper.pudhari.news/edition/maineidition/PUDHARI_RGD/page/9</v>
      </c>
      <c r="G45" t="s">
        <v>116</v>
      </c>
    </row>
    <row r="46" spans="5:7" x14ac:dyDescent="0.3">
      <c r="E46" t="str">
        <f t="shared" si="2"/>
        <v>https://epaper.pudhari.news/edition/maineidition/PUDHARI_RGD/page/10</v>
      </c>
      <c r="G46" t="s">
        <v>117</v>
      </c>
    </row>
    <row r="47" spans="5:7" x14ac:dyDescent="0.3">
      <c r="E47" t="str">
        <f t="shared" si="2"/>
        <v>https://epaper.pudhari.news/edition/maineidition/PUDHARI_RGD/page/11</v>
      </c>
      <c r="G47" t="s">
        <v>118</v>
      </c>
    </row>
    <row r="48" spans="5:7" x14ac:dyDescent="0.3">
      <c r="E48" t="str">
        <f t="shared" si="2"/>
        <v>https://epaper.pudhari.news/edition/maineidition/PUDHARI_RGD/page/12</v>
      </c>
      <c r="G48" t="s">
        <v>119</v>
      </c>
    </row>
    <row r="49" spans="5:7" x14ac:dyDescent="0.3">
      <c r="E49" t="str">
        <f t="shared" si="2"/>
        <v>https://epaper.pudhari.news/edition/maineidition/PUDHARI_RGD/page/13</v>
      </c>
      <c r="G49" t="s">
        <v>120</v>
      </c>
    </row>
    <row r="50" spans="5:7" x14ac:dyDescent="0.3">
      <c r="E50" t="str">
        <f t="shared" si="2"/>
        <v>https://epaper.pudhari.news/edition/maineidition/PUDHARI_RGD/page/14</v>
      </c>
      <c r="G50" t="s">
        <v>121</v>
      </c>
    </row>
    <row r="51" spans="5:7" x14ac:dyDescent="0.3">
      <c r="E51" t="str">
        <f t="shared" si="2"/>
        <v>https://epaper.pudhari.news/edition/maineidition/PUDHARI_RGD/page/15</v>
      </c>
      <c r="G51" t="s">
        <v>122</v>
      </c>
    </row>
    <row r="52" spans="5:7" x14ac:dyDescent="0.3">
      <c r="E52" t="str">
        <f t="shared" si="2"/>
        <v>https://epaper.pudhari.news/edition/maineidition/PUDHARI_RGD/page/16</v>
      </c>
      <c r="G52" t="s">
        <v>123</v>
      </c>
    </row>
    <row r="54" spans="5:7" x14ac:dyDescent="0.3">
      <c r="E54" t="str">
        <f>CONCATENATE($A$3,$B$5,$C$3,D3)</f>
        <v>https://epaper.pudhari.news/edition/maineidition/PUDHARI_RGD/page/1</v>
      </c>
      <c r="G54" t="s">
        <v>124</v>
      </c>
    </row>
    <row r="55" spans="5:7" x14ac:dyDescent="0.3">
      <c r="E55" t="str">
        <f t="shared" ref="E55:E69" si="3">CONCATENATE($A$3,$B$5,$C$3,D4)</f>
        <v>https://epaper.pudhari.news/edition/maineidition/PUDHARI_RGD/page/2</v>
      </c>
      <c r="G55" t="s">
        <v>125</v>
      </c>
    </row>
    <row r="56" spans="5:7" x14ac:dyDescent="0.3">
      <c r="E56" t="str">
        <f t="shared" si="3"/>
        <v>https://epaper.pudhari.news/edition/maineidition/PUDHARI_RGD/page/3</v>
      </c>
      <c r="G56" t="s">
        <v>126</v>
      </c>
    </row>
    <row r="57" spans="5:7" x14ac:dyDescent="0.3">
      <c r="E57" t="str">
        <f t="shared" si="3"/>
        <v>https://epaper.pudhari.news/edition/maineidition/PUDHARI_RGD/page/4</v>
      </c>
      <c r="G57" t="s">
        <v>127</v>
      </c>
    </row>
    <row r="58" spans="5:7" x14ac:dyDescent="0.3">
      <c r="E58" t="str">
        <f t="shared" si="3"/>
        <v>https://epaper.pudhari.news/edition/maineidition/PUDHARI_RGD/page/5</v>
      </c>
      <c r="G58" t="s">
        <v>128</v>
      </c>
    </row>
    <row r="59" spans="5:7" x14ac:dyDescent="0.3">
      <c r="E59" t="str">
        <f t="shared" si="3"/>
        <v>https://epaper.pudhari.news/edition/maineidition/PUDHARI_RGD/page/6</v>
      </c>
      <c r="G59" t="s">
        <v>129</v>
      </c>
    </row>
    <row r="60" spans="5:7" x14ac:dyDescent="0.3">
      <c r="E60" t="str">
        <f t="shared" si="3"/>
        <v>https://epaper.pudhari.news/edition/maineidition/PUDHARI_RGD/page/7</v>
      </c>
      <c r="G60" t="s">
        <v>130</v>
      </c>
    </row>
    <row r="61" spans="5:7" x14ac:dyDescent="0.3">
      <c r="E61" t="str">
        <f t="shared" si="3"/>
        <v>https://epaper.pudhari.news/edition/maineidition/PUDHARI_RGD/page/8</v>
      </c>
      <c r="G61" t="s">
        <v>131</v>
      </c>
    </row>
    <row r="62" spans="5:7" x14ac:dyDescent="0.3">
      <c r="E62" t="str">
        <f t="shared" si="3"/>
        <v>https://epaper.pudhari.news/edition/maineidition/PUDHARI_RGD/page/9</v>
      </c>
      <c r="G62" t="s">
        <v>132</v>
      </c>
    </row>
    <row r="63" spans="5:7" x14ac:dyDescent="0.3">
      <c r="E63" t="str">
        <f t="shared" si="3"/>
        <v>https://epaper.pudhari.news/edition/maineidition/PUDHARI_RGD/page/10</v>
      </c>
      <c r="G63" t="s">
        <v>133</v>
      </c>
    </row>
    <row r="64" spans="5:7" x14ac:dyDescent="0.3">
      <c r="E64" t="str">
        <f t="shared" si="3"/>
        <v>https://epaper.pudhari.news/edition/maineidition/PUDHARI_RGD/page/11</v>
      </c>
      <c r="G64" t="s">
        <v>134</v>
      </c>
    </row>
    <row r="65" spans="5:7" x14ac:dyDescent="0.3">
      <c r="E65" t="str">
        <f t="shared" si="3"/>
        <v>https://epaper.pudhari.news/edition/maineidition/PUDHARI_RGD/page/12</v>
      </c>
      <c r="G65" t="s">
        <v>135</v>
      </c>
    </row>
    <row r="66" spans="5:7" x14ac:dyDescent="0.3">
      <c r="E66" t="str">
        <f>CONCATENATE($A$3,$B$5,$C$3,D15)</f>
        <v>https://epaper.pudhari.news/edition/maineidition/PUDHARI_RGD/page/13</v>
      </c>
      <c r="G66" t="s">
        <v>136</v>
      </c>
    </row>
    <row r="67" spans="5:7" x14ac:dyDescent="0.3">
      <c r="E67" t="str">
        <f t="shared" si="3"/>
        <v>https://epaper.pudhari.news/edition/maineidition/PUDHARI_RGD/page/14</v>
      </c>
      <c r="G67" t="s">
        <v>137</v>
      </c>
    </row>
    <row r="68" spans="5:7" x14ac:dyDescent="0.3">
      <c r="E68" t="str">
        <f t="shared" si="3"/>
        <v>https://epaper.pudhari.news/edition/maineidition/PUDHARI_RGD/page/15</v>
      </c>
      <c r="G68" t="s">
        <v>138</v>
      </c>
    </row>
    <row r="69" spans="5:7" x14ac:dyDescent="0.3">
      <c r="E69" t="str">
        <f t="shared" si="3"/>
        <v>https://epaper.pudhari.news/edition/maineidition/PUDHARI_RGD/page/16</v>
      </c>
      <c r="G69" t="s">
        <v>139</v>
      </c>
    </row>
    <row r="71" spans="5:7" x14ac:dyDescent="0.3">
      <c r="E71" t="str">
        <f>CONCATENATE($A$3,$B$6,$C$3,D3)</f>
        <v>https://epaper.pudhari.news/edition/maineidition/PUDHARI_PAL/page/1</v>
      </c>
      <c r="G71" t="s">
        <v>140</v>
      </c>
    </row>
    <row r="72" spans="5:7" x14ac:dyDescent="0.3">
      <c r="E72" t="str">
        <f t="shared" ref="E72:E86" si="4">CONCATENATE($A$3,$B$6,$C$3,D4)</f>
        <v>https://epaper.pudhari.news/edition/maineidition/PUDHARI_PAL/page/2</v>
      </c>
      <c r="G72" t="s">
        <v>141</v>
      </c>
    </row>
    <row r="73" spans="5:7" x14ac:dyDescent="0.3">
      <c r="E73" t="str">
        <f t="shared" si="4"/>
        <v>https://epaper.pudhari.news/edition/maineidition/PUDHARI_PAL/page/3</v>
      </c>
      <c r="G73" t="s">
        <v>142</v>
      </c>
    </row>
    <row r="74" spans="5:7" x14ac:dyDescent="0.3">
      <c r="E74" t="str">
        <f t="shared" si="4"/>
        <v>https://epaper.pudhari.news/edition/maineidition/PUDHARI_PAL/page/4</v>
      </c>
      <c r="G74" t="s">
        <v>143</v>
      </c>
    </row>
    <row r="75" spans="5:7" x14ac:dyDescent="0.3">
      <c r="E75" t="str">
        <f t="shared" si="4"/>
        <v>https://epaper.pudhari.news/edition/maineidition/PUDHARI_PAL/page/5</v>
      </c>
      <c r="G75" t="s">
        <v>144</v>
      </c>
    </row>
    <row r="76" spans="5:7" x14ac:dyDescent="0.3">
      <c r="E76" t="str">
        <f t="shared" si="4"/>
        <v>https://epaper.pudhari.news/edition/maineidition/PUDHARI_PAL/page/6</v>
      </c>
      <c r="G76" t="s">
        <v>145</v>
      </c>
    </row>
    <row r="77" spans="5:7" x14ac:dyDescent="0.3">
      <c r="E77" t="str">
        <f t="shared" si="4"/>
        <v>https://epaper.pudhari.news/edition/maineidition/PUDHARI_PAL/page/7</v>
      </c>
      <c r="G77" t="s">
        <v>146</v>
      </c>
    </row>
    <row r="78" spans="5:7" x14ac:dyDescent="0.3">
      <c r="E78" t="str">
        <f t="shared" si="4"/>
        <v>https://epaper.pudhari.news/edition/maineidition/PUDHARI_PAL/page/8</v>
      </c>
      <c r="G78" t="s">
        <v>147</v>
      </c>
    </row>
    <row r="79" spans="5:7" x14ac:dyDescent="0.3">
      <c r="E79" t="str">
        <f t="shared" si="4"/>
        <v>https://epaper.pudhari.news/edition/maineidition/PUDHARI_PAL/page/9</v>
      </c>
      <c r="G79" t="s">
        <v>148</v>
      </c>
    </row>
    <row r="80" spans="5:7" x14ac:dyDescent="0.3">
      <c r="E80" t="str">
        <f t="shared" si="4"/>
        <v>https://epaper.pudhari.news/edition/maineidition/PUDHARI_PAL/page/10</v>
      </c>
      <c r="G80" t="s">
        <v>149</v>
      </c>
    </row>
    <row r="81" spans="5:7" x14ac:dyDescent="0.3">
      <c r="E81" t="str">
        <f t="shared" si="4"/>
        <v>https://epaper.pudhari.news/edition/maineidition/PUDHARI_PAL/page/11</v>
      </c>
      <c r="G81" t="s">
        <v>150</v>
      </c>
    </row>
    <row r="82" spans="5:7" x14ac:dyDescent="0.3">
      <c r="E82" t="str">
        <f t="shared" si="4"/>
        <v>https://epaper.pudhari.news/edition/maineidition/PUDHARI_PAL/page/12</v>
      </c>
      <c r="G82" t="s">
        <v>151</v>
      </c>
    </row>
    <row r="83" spans="5:7" x14ac:dyDescent="0.3">
      <c r="E83" t="str">
        <f t="shared" si="4"/>
        <v>https://epaper.pudhari.news/edition/maineidition/PUDHARI_PAL/page/13</v>
      </c>
      <c r="G83" t="s">
        <v>152</v>
      </c>
    </row>
    <row r="84" spans="5:7" x14ac:dyDescent="0.3">
      <c r="E84" t="str">
        <f t="shared" si="4"/>
        <v>https://epaper.pudhari.news/edition/maineidition/PUDHARI_PAL/page/14</v>
      </c>
      <c r="G84" t="s">
        <v>153</v>
      </c>
    </row>
    <row r="85" spans="5:7" x14ac:dyDescent="0.3">
      <c r="E85" t="str">
        <f t="shared" si="4"/>
        <v>https://epaper.pudhari.news/edition/maineidition/PUDHARI_PAL/page/15</v>
      </c>
      <c r="G85" t="s">
        <v>154</v>
      </c>
    </row>
    <row r="86" spans="5:7" x14ac:dyDescent="0.3">
      <c r="E86" t="str">
        <f t="shared" si="4"/>
        <v>https://epaper.pudhari.news/edition/maineidition/PUDHARI_PAL/page/16</v>
      </c>
      <c r="G86" t="s">
        <v>155</v>
      </c>
    </row>
    <row r="88" spans="5:7" x14ac:dyDescent="0.3">
      <c r="E88" t="str">
        <f>CONCATENATE($A$3,$B$7,$C$3,D3)</f>
        <v>https://epaper.pudhari.news/edition/maineidition/PUDHARI_PUN/page/1</v>
      </c>
      <c r="G88" t="s">
        <v>156</v>
      </c>
    </row>
    <row r="89" spans="5:7" x14ac:dyDescent="0.3">
      <c r="E89" t="str">
        <f t="shared" ref="E89:E103" si="5">CONCATENATE($A$3,$B$7,$C$3,D4)</f>
        <v>https://epaper.pudhari.news/edition/maineidition/PUDHARI_PUN/page/2</v>
      </c>
      <c r="G89" t="s">
        <v>157</v>
      </c>
    </row>
    <row r="90" spans="5:7" x14ac:dyDescent="0.3">
      <c r="E90" t="str">
        <f t="shared" si="5"/>
        <v>https://epaper.pudhari.news/edition/maineidition/PUDHARI_PUN/page/3</v>
      </c>
      <c r="G90" t="s">
        <v>158</v>
      </c>
    </row>
    <row r="91" spans="5:7" x14ac:dyDescent="0.3">
      <c r="E91" t="str">
        <f t="shared" si="5"/>
        <v>https://epaper.pudhari.news/edition/maineidition/PUDHARI_PUN/page/4</v>
      </c>
      <c r="G91" t="s">
        <v>159</v>
      </c>
    </row>
    <row r="92" spans="5:7" x14ac:dyDescent="0.3">
      <c r="E92" t="str">
        <f t="shared" si="5"/>
        <v>https://epaper.pudhari.news/edition/maineidition/PUDHARI_PUN/page/5</v>
      </c>
      <c r="G92" t="s">
        <v>160</v>
      </c>
    </row>
    <row r="93" spans="5:7" x14ac:dyDescent="0.3">
      <c r="E93" t="str">
        <f t="shared" si="5"/>
        <v>https://epaper.pudhari.news/edition/maineidition/PUDHARI_PUN/page/6</v>
      </c>
      <c r="G93" t="s">
        <v>161</v>
      </c>
    </row>
    <row r="94" spans="5:7" x14ac:dyDescent="0.3">
      <c r="E94" t="str">
        <f t="shared" si="5"/>
        <v>https://epaper.pudhari.news/edition/maineidition/PUDHARI_PUN/page/7</v>
      </c>
      <c r="G94" t="s">
        <v>162</v>
      </c>
    </row>
    <row r="95" spans="5:7" x14ac:dyDescent="0.3">
      <c r="E95" t="str">
        <f t="shared" si="5"/>
        <v>https://epaper.pudhari.news/edition/maineidition/PUDHARI_PUN/page/8</v>
      </c>
      <c r="G95" t="s">
        <v>163</v>
      </c>
    </row>
    <row r="96" spans="5:7" x14ac:dyDescent="0.3">
      <c r="E96" t="str">
        <f t="shared" si="5"/>
        <v>https://epaper.pudhari.news/edition/maineidition/PUDHARI_PUN/page/9</v>
      </c>
      <c r="G96" t="s">
        <v>164</v>
      </c>
    </row>
    <row r="97" spans="5:7" x14ac:dyDescent="0.3">
      <c r="E97" t="str">
        <f t="shared" si="5"/>
        <v>https://epaper.pudhari.news/edition/maineidition/PUDHARI_PUN/page/10</v>
      </c>
      <c r="G97" t="s">
        <v>165</v>
      </c>
    </row>
    <row r="98" spans="5:7" x14ac:dyDescent="0.3">
      <c r="E98" t="str">
        <f t="shared" si="5"/>
        <v>https://epaper.pudhari.news/edition/maineidition/PUDHARI_PUN/page/11</v>
      </c>
      <c r="G98" t="s">
        <v>166</v>
      </c>
    </row>
    <row r="99" spans="5:7" x14ac:dyDescent="0.3">
      <c r="E99" t="str">
        <f t="shared" si="5"/>
        <v>https://epaper.pudhari.news/edition/maineidition/PUDHARI_PUN/page/12</v>
      </c>
      <c r="G99" t="s">
        <v>167</v>
      </c>
    </row>
    <row r="100" spans="5:7" x14ac:dyDescent="0.3">
      <c r="E100" t="str">
        <f t="shared" si="5"/>
        <v>https://epaper.pudhari.news/edition/maineidition/PUDHARI_PUN/page/13</v>
      </c>
      <c r="G100" t="s">
        <v>168</v>
      </c>
    </row>
    <row r="101" spans="5:7" x14ac:dyDescent="0.3">
      <c r="E101" t="str">
        <f t="shared" si="5"/>
        <v>https://epaper.pudhari.news/edition/maineidition/PUDHARI_PUN/page/14</v>
      </c>
      <c r="G101" t="s">
        <v>169</v>
      </c>
    </row>
    <row r="102" spans="5:7" x14ac:dyDescent="0.3">
      <c r="E102" t="str">
        <f t="shared" si="5"/>
        <v>https://epaper.pudhari.news/edition/maineidition/PUDHARI_PUN/page/15</v>
      </c>
      <c r="G102" t="s">
        <v>170</v>
      </c>
    </row>
    <row r="103" spans="5:7" x14ac:dyDescent="0.3">
      <c r="E103" t="str">
        <f t="shared" si="5"/>
        <v>https://epaper.pudhari.news/edition/maineidition/PUDHARI_PUN/page/16</v>
      </c>
      <c r="G103" t="s">
        <v>171</v>
      </c>
    </row>
    <row r="105" spans="5:7" x14ac:dyDescent="0.3">
      <c r="E105" t="str">
        <f>CONCATENATE($A$3,$B$8,$C$3,D3)</f>
        <v>https://epaper.pudhari.news/edition/maineidition/PUDHARI_KOL/page/1</v>
      </c>
      <c r="G105" t="s">
        <v>172</v>
      </c>
    </row>
    <row r="106" spans="5:7" x14ac:dyDescent="0.3">
      <c r="E106" t="str">
        <f t="shared" ref="E106:E120" si="6">CONCATENATE($A$3,$B$8,$C$3,D4)</f>
        <v>https://epaper.pudhari.news/edition/maineidition/PUDHARI_KOL/page/2</v>
      </c>
      <c r="G106" t="s">
        <v>173</v>
      </c>
    </row>
    <row r="107" spans="5:7" x14ac:dyDescent="0.3">
      <c r="E107" t="str">
        <f t="shared" si="6"/>
        <v>https://epaper.pudhari.news/edition/maineidition/PUDHARI_KOL/page/3</v>
      </c>
      <c r="G107" t="s">
        <v>174</v>
      </c>
    </row>
    <row r="108" spans="5:7" x14ac:dyDescent="0.3">
      <c r="E108" t="str">
        <f t="shared" si="6"/>
        <v>https://epaper.pudhari.news/edition/maineidition/PUDHARI_KOL/page/4</v>
      </c>
      <c r="G108" t="s">
        <v>175</v>
      </c>
    </row>
    <row r="109" spans="5:7" x14ac:dyDescent="0.3">
      <c r="E109" t="str">
        <f t="shared" si="6"/>
        <v>https://epaper.pudhari.news/edition/maineidition/PUDHARI_KOL/page/5</v>
      </c>
      <c r="G109" t="s">
        <v>176</v>
      </c>
    </row>
    <row r="110" spans="5:7" x14ac:dyDescent="0.3">
      <c r="E110" t="str">
        <f t="shared" si="6"/>
        <v>https://epaper.pudhari.news/edition/maineidition/PUDHARI_KOL/page/6</v>
      </c>
      <c r="G110" t="s">
        <v>177</v>
      </c>
    </row>
    <row r="111" spans="5:7" x14ac:dyDescent="0.3">
      <c r="E111" t="str">
        <f t="shared" si="6"/>
        <v>https://epaper.pudhari.news/edition/maineidition/PUDHARI_KOL/page/7</v>
      </c>
      <c r="G111" t="s">
        <v>178</v>
      </c>
    </row>
    <row r="112" spans="5:7" x14ac:dyDescent="0.3">
      <c r="E112" t="str">
        <f t="shared" si="6"/>
        <v>https://epaper.pudhari.news/edition/maineidition/PUDHARI_KOL/page/8</v>
      </c>
      <c r="G112" t="s">
        <v>179</v>
      </c>
    </row>
    <row r="113" spans="5:7" x14ac:dyDescent="0.3">
      <c r="E113" t="str">
        <f t="shared" si="6"/>
        <v>https://epaper.pudhari.news/edition/maineidition/PUDHARI_KOL/page/9</v>
      </c>
      <c r="G113" t="s">
        <v>180</v>
      </c>
    </row>
    <row r="114" spans="5:7" x14ac:dyDescent="0.3">
      <c r="E114" t="str">
        <f t="shared" si="6"/>
        <v>https://epaper.pudhari.news/edition/maineidition/PUDHARI_KOL/page/10</v>
      </c>
      <c r="G114" t="s">
        <v>181</v>
      </c>
    </row>
    <row r="115" spans="5:7" x14ac:dyDescent="0.3">
      <c r="E115" t="str">
        <f t="shared" si="6"/>
        <v>https://epaper.pudhari.news/edition/maineidition/PUDHARI_KOL/page/11</v>
      </c>
      <c r="G115" t="s">
        <v>182</v>
      </c>
    </row>
    <row r="116" spans="5:7" x14ac:dyDescent="0.3">
      <c r="E116" t="str">
        <f t="shared" si="6"/>
        <v>https://epaper.pudhari.news/edition/maineidition/PUDHARI_KOL/page/12</v>
      </c>
      <c r="G116" t="s">
        <v>183</v>
      </c>
    </row>
    <row r="117" spans="5:7" x14ac:dyDescent="0.3">
      <c r="E117" t="str">
        <f t="shared" si="6"/>
        <v>https://epaper.pudhari.news/edition/maineidition/PUDHARI_KOL/page/13</v>
      </c>
      <c r="G117" t="s">
        <v>184</v>
      </c>
    </row>
    <row r="118" spans="5:7" x14ac:dyDescent="0.3">
      <c r="E118" t="str">
        <f t="shared" si="6"/>
        <v>https://epaper.pudhari.news/edition/maineidition/PUDHARI_KOL/page/14</v>
      </c>
      <c r="G118" t="s">
        <v>185</v>
      </c>
    </row>
    <row r="119" spans="5:7" x14ac:dyDescent="0.3">
      <c r="E119" t="str">
        <f t="shared" si="6"/>
        <v>https://epaper.pudhari.news/edition/maineidition/PUDHARI_KOL/page/15</v>
      </c>
      <c r="G119" t="s">
        <v>186</v>
      </c>
    </row>
    <row r="120" spans="5:7" x14ac:dyDescent="0.3">
      <c r="E120" t="str">
        <f t="shared" si="6"/>
        <v>https://epaper.pudhari.news/edition/maineidition/PUDHARI_KOL/page/16</v>
      </c>
      <c r="G120" t="s">
        <v>187</v>
      </c>
    </row>
    <row r="122" spans="5:7" x14ac:dyDescent="0.3">
      <c r="E122" t="str">
        <f>CONCATENATE($A$3,$B$9,$C$3,D3)</f>
        <v>https://epaper.pudhari.news/edition/maineidition/PUDHARI_SAN/page/1</v>
      </c>
      <c r="G122" t="s">
        <v>188</v>
      </c>
    </row>
    <row r="123" spans="5:7" x14ac:dyDescent="0.3">
      <c r="E123" t="str">
        <f t="shared" ref="E123:E137" si="7">CONCATENATE($A$3,$B$9,$C$3,D4)</f>
        <v>https://epaper.pudhari.news/edition/maineidition/PUDHARI_SAN/page/2</v>
      </c>
      <c r="G123" t="s">
        <v>189</v>
      </c>
    </row>
    <row r="124" spans="5:7" x14ac:dyDescent="0.3">
      <c r="E124" t="str">
        <f t="shared" si="7"/>
        <v>https://epaper.pudhari.news/edition/maineidition/PUDHARI_SAN/page/3</v>
      </c>
      <c r="G124" t="s">
        <v>190</v>
      </c>
    </row>
    <row r="125" spans="5:7" x14ac:dyDescent="0.3">
      <c r="E125" t="str">
        <f t="shared" si="7"/>
        <v>https://epaper.pudhari.news/edition/maineidition/PUDHARI_SAN/page/4</v>
      </c>
      <c r="G125" t="s">
        <v>191</v>
      </c>
    </row>
    <row r="126" spans="5:7" x14ac:dyDescent="0.3">
      <c r="E126" t="str">
        <f t="shared" si="7"/>
        <v>https://epaper.pudhari.news/edition/maineidition/PUDHARI_SAN/page/5</v>
      </c>
      <c r="G126" t="s">
        <v>192</v>
      </c>
    </row>
    <row r="127" spans="5:7" x14ac:dyDescent="0.3">
      <c r="E127" t="str">
        <f t="shared" si="7"/>
        <v>https://epaper.pudhari.news/edition/maineidition/PUDHARI_SAN/page/6</v>
      </c>
      <c r="G127" t="s">
        <v>193</v>
      </c>
    </row>
    <row r="128" spans="5:7" x14ac:dyDescent="0.3">
      <c r="E128" t="str">
        <f t="shared" si="7"/>
        <v>https://epaper.pudhari.news/edition/maineidition/PUDHARI_SAN/page/7</v>
      </c>
      <c r="G128" t="s">
        <v>194</v>
      </c>
    </row>
    <row r="129" spans="5:7" x14ac:dyDescent="0.3">
      <c r="E129" t="str">
        <f t="shared" si="7"/>
        <v>https://epaper.pudhari.news/edition/maineidition/PUDHARI_SAN/page/8</v>
      </c>
      <c r="G129" t="s">
        <v>195</v>
      </c>
    </row>
    <row r="130" spans="5:7" x14ac:dyDescent="0.3">
      <c r="E130" t="str">
        <f t="shared" si="7"/>
        <v>https://epaper.pudhari.news/edition/maineidition/PUDHARI_SAN/page/9</v>
      </c>
      <c r="G130" t="s">
        <v>196</v>
      </c>
    </row>
    <row r="131" spans="5:7" x14ac:dyDescent="0.3">
      <c r="E131" t="str">
        <f t="shared" si="7"/>
        <v>https://epaper.pudhari.news/edition/maineidition/PUDHARI_SAN/page/10</v>
      </c>
      <c r="G131" t="s">
        <v>197</v>
      </c>
    </row>
    <row r="132" spans="5:7" x14ac:dyDescent="0.3">
      <c r="E132" t="str">
        <f t="shared" si="7"/>
        <v>https://epaper.pudhari.news/edition/maineidition/PUDHARI_SAN/page/11</v>
      </c>
      <c r="G132" t="s">
        <v>198</v>
      </c>
    </row>
    <row r="133" spans="5:7" x14ac:dyDescent="0.3">
      <c r="E133" t="str">
        <f t="shared" si="7"/>
        <v>https://epaper.pudhari.news/edition/maineidition/PUDHARI_SAN/page/12</v>
      </c>
      <c r="G133" t="s">
        <v>199</v>
      </c>
    </row>
    <row r="134" spans="5:7" x14ac:dyDescent="0.3">
      <c r="E134" t="str">
        <f>CONCATENATE($A$3,$B$9,$C$3,D15)</f>
        <v>https://epaper.pudhari.news/edition/maineidition/PUDHARI_SAN/page/13</v>
      </c>
      <c r="G134" t="s">
        <v>200</v>
      </c>
    </row>
    <row r="135" spans="5:7" x14ac:dyDescent="0.3">
      <c r="E135" t="str">
        <f t="shared" si="7"/>
        <v>https://epaper.pudhari.news/edition/maineidition/PUDHARI_SAN/page/14</v>
      </c>
      <c r="G135" t="s">
        <v>201</v>
      </c>
    </row>
    <row r="136" spans="5:7" x14ac:dyDescent="0.3">
      <c r="E136" t="str">
        <f t="shared" si="7"/>
        <v>https://epaper.pudhari.news/edition/maineidition/PUDHARI_SAN/page/15</v>
      </c>
      <c r="G136" t="s">
        <v>202</v>
      </c>
    </row>
    <row r="137" spans="5:7" x14ac:dyDescent="0.3">
      <c r="E137" t="str">
        <f t="shared" si="7"/>
        <v>https://epaper.pudhari.news/edition/maineidition/PUDHARI_SAN/page/16</v>
      </c>
      <c r="G137" t="s">
        <v>203</v>
      </c>
    </row>
    <row r="139" spans="5:7" x14ac:dyDescent="0.3">
      <c r="E139" t="s">
        <v>268</v>
      </c>
      <c r="G139" t="s">
        <v>204</v>
      </c>
    </row>
    <row r="140" spans="5:7" x14ac:dyDescent="0.3">
      <c r="E140" t="s">
        <v>269</v>
      </c>
      <c r="G140" t="s">
        <v>205</v>
      </c>
    </row>
    <row r="141" spans="5:7" x14ac:dyDescent="0.3">
      <c r="E141" t="s">
        <v>270</v>
      </c>
      <c r="G141" t="s">
        <v>206</v>
      </c>
    </row>
    <row r="142" spans="5:7" x14ac:dyDescent="0.3">
      <c r="E142" t="s">
        <v>271</v>
      </c>
      <c r="G142" t="s">
        <v>207</v>
      </c>
    </row>
    <row r="143" spans="5:7" x14ac:dyDescent="0.3">
      <c r="E143" t="s">
        <v>272</v>
      </c>
      <c r="G143" t="s">
        <v>208</v>
      </c>
    </row>
    <row r="144" spans="5:7" x14ac:dyDescent="0.3">
      <c r="E144" t="s">
        <v>273</v>
      </c>
      <c r="G144" t="s">
        <v>209</v>
      </c>
    </row>
    <row r="145" spans="5:7" x14ac:dyDescent="0.3">
      <c r="E145" t="s">
        <v>274</v>
      </c>
      <c r="G145" t="s">
        <v>210</v>
      </c>
    </row>
    <row r="146" spans="5:7" x14ac:dyDescent="0.3">
      <c r="E146" t="s">
        <v>275</v>
      </c>
      <c r="G146" t="s">
        <v>211</v>
      </c>
    </row>
    <row r="147" spans="5:7" x14ac:dyDescent="0.3">
      <c r="E147" t="s">
        <v>276</v>
      </c>
      <c r="G147" t="s">
        <v>212</v>
      </c>
    </row>
    <row r="148" spans="5:7" x14ac:dyDescent="0.3">
      <c r="E148" t="s">
        <v>277</v>
      </c>
      <c r="G148" t="s">
        <v>213</v>
      </c>
    </row>
    <row r="149" spans="5:7" x14ac:dyDescent="0.3">
      <c r="E149" t="s">
        <v>278</v>
      </c>
      <c r="G149" t="s">
        <v>214</v>
      </c>
    </row>
    <row r="150" spans="5:7" x14ac:dyDescent="0.3">
      <c r="E150" t="s">
        <v>279</v>
      </c>
      <c r="G150" t="s">
        <v>215</v>
      </c>
    </row>
    <row r="151" spans="5:7" x14ac:dyDescent="0.3">
      <c r="E151" t="s">
        <v>280</v>
      </c>
      <c r="G151" t="s">
        <v>216</v>
      </c>
    </row>
    <row r="152" spans="5:7" x14ac:dyDescent="0.3">
      <c r="E152" t="s">
        <v>281</v>
      </c>
      <c r="G152" t="s">
        <v>217</v>
      </c>
    </row>
    <row r="153" spans="5:7" x14ac:dyDescent="0.3">
      <c r="E153" t="s">
        <v>282</v>
      </c>
      <c r="G153" t="s">
        <v>218</v>
      </c>
    </row>
    <row r="154" spans="5:7" x14ac:dyDescent="0.3">
      <c r="E154" t="s">
        <v>283</v>
      </c>
      <c r="G154" t="s">
        <v>219</v>
      </c>
    </row>
    <row r="156" spans="5:7" x14ac:dyDescent="0.3">
      <c r="E156" t="s">
        <v>284</v>
      </c>
      <c r="G156" t="s">
        <v>220</v>
      </c>
    </row>
    <row r="157" spans="5:7" x14ac:dyDescent="0.3">
      <c r="E157" t="s">
        <v>285</v>
      </c>
      <c r="G157" t="s">
        <v>221</v>
      </c>
    </row>
    <row r="158" spans="5:7" x14ac:dyDescent="0.3">
      <c r="E158" t="s">
        <v>286</v>
      </c>
      <c r="G158" t="s">
        <v>222</v>
      </c>
    </row>
    <row r="159" spans="5:7" x14ac:dyDescent="0.3">
      <c r="E159" t="s">
        <v>287</v>
      </c>
      <c r="G159" t="s">
        <v>223</v>
      </c>
    </row>
    <row r="160" spans="5:7" x14ac:dyDescent="0.3">
      <c r="E160" t="s">
        <v>288</v>
      </c>
      <c r="G160" t="s">
        <v>224</v>
      </c>
    </row>
    <row r="161" spans="5:7" x14ac:dyDescent="0.3">
      <c r="E161" t="s">
        <v>289</v>
      </c>
      <c r="G161" t="s">
        <v>225</v>
      </c>
    </row>
    <row r="162" spans="5:7" x14ac:dyDescent="0.3">
      <c r="E162" t="s">
        <v>290</v>
      </c>
      <c r="G162" t="s">
        <v>226</v>
      </c>
    </row>
    <row r="163" spans="5:7" x14ac:dyDescent="0.3">
      <c r="E163" t="s">
        <v>291</v>
      </c>
      <c r="G163" t="s">
        <v>227</v>
      </c>
    </row>
    <row r="164" spans="5:7" x14ac:dyDescent="0.3">
      <c r="E164" t="s">
        <v>292</v>
      </c>
      <c r="G164" t="s">
        <v>228</v>
      </c>
    </row>
    <row r="165" spans="5:7" x14ac:dyDescent="0.3">
      <c r="E165" t="s">
        <v>293</v>
      </c>
      <c r="G165" t="s">
        <v>229</v>
      </c>
    </row>
    <row r="166" spans="5:7" x14ac:dyDescent="0.3">
      <c r="E166" t="s">
        <v>294</v>
      </c>
      <c r="G166" t="s">
        <v>230</v>
      </c>
    </row>
    <row r="167" spans="5:7" x14ac:dyDescent="0.3">
      <c r="E167" t="s">
        <v>295</v>
      </c>
      <c r="G167" t="s">
        <v>231</v>
      </c>
    </row>
    <row r="168" spans="5:7" x14ac:dyDescent="0.3">
      <c r="E168" t="s">
        <v>296</v>
      </c>
      <c r="G168" t="s">
        <v>232</v>
      </c>
    </row>
    <row r="169" spans="5:7" x14ac:dyDescent="0.3">
      <c r="E169" t="s">
        <v>297</v>
      </c>
      <c r="G169" t="s">
        <v>233</v>
      </c>
    </row>
    <row r="170" spans="5:7" x14ac:dyDescent="0.3">
      <c r="E170" t="s">
        <v>298</v>
      </c>
      <c r="G170" t="s">
        <v>234</v>
      </c>
    </row>
    <row r="171" spans="5:7" x14ac:dyDescent="0.3">
      <c r="E171" t="s">
        <v>299</v>
      </c>
      <c r="G171" t="s">
        <v>235</v>
      </c>
    </row>
    <row r="173" spans="5:7" x14ac:dyDescent="0.3">
      <c r="E173" t="s">
        <v>300</v>
      </c>
      <c r="G173" t="s">
        <v>236</v>
      </c>
    </row>
    <row r="174" spans="5:7" x14ac:dyDescent="0.3">
      <c r="E174" t="s">
        <v>301</v>
      </c>
      <c r="G174" t="s">
        <v>237</v>
      </c>
    </row>
    <row r="175" spans="5:7" x14ac:dyDescent="0.3">
      <c r="E175" t="s">
        <v>302</v>
      </c>
      <c r="G175" t="s">
        <v>238</v>
      </c>
    </row>
    <row r="176" spans="5:7" x14ac:dyDescent="0.3">
      <c r="E176" t="s">
        <v>303</v>
      </c>
      <c r="G176" t="s">
        <v>239</v>
      </c>
    </row>
    <row r="177" spans="5:7" x14ac:dyDescent="0.3">
      <c r="E177" t="s">
        <v>304</v>
      </c>
      <c r="G177" t="s">
        <v>240</v>
      </c>
    </row>
    <row r="178" spans="5:7" x14ac:dyDescent="0.3">
      <c r="E178" t="s">
        <v>305</v>
      </c>
      <c r="G178" t="s">
        <v>241</v>
      </c>
    </row>
    <row r="179" spans="5:7" x14ac:dyDescent="0.3">
      <c r="E179" t="s">
        <v>306</v>
      </c>
      <c r="G179" t="s">
        <v>242</v>
      </c>
    </row>
    <row r="180" spans="5:7" x14ac:dyDescent="0.3">
      <c r="E180" t="s">
        <v>307</v>
      </c>
      <c r="G180" t="s">
        <v>243</v>
      </c>
    </row>
    <row r="181" spans="5:7" x14ac:dyDescent="0.3">
      <c r="E181" t="s">
        <v>308</v>
      </c>
      <c r="G181" t="s">
        <v>244</v>
      </c>
    </row>
    <row r="182" spans="5:7" x14ac:dyDescent="0.3">
      <c r="E182" t="s">
        <v>309</v>
      </c>
      <c r="G182" t="s">
        <v>245</v>
      </c>
    </row>
    <row r="183" spans="5:7" x14ac:dyDescent="0.3">
      <c r="E183" t="s">
        <v>310</v>
      </c>
      <c r="G183" t="s">
        <v>246</v>
      </c>
    </row>
    <row r="184" spans="5:7" x14ac:dyDescent="0.3">
      <c r="E184" t="s">
        <v>311</v>
      </c>
      <c r="G184" t="s">
        <v>247</v>
      </c>
    </row>
    <row r="185" spans="5:7" x14ac:dyDescent="0.3">
      <c r="E185" t="s">
        <v>312</v>
      </c>
      <c r="G185" t="s">
        <v>248</v>
      </c>
    </row>
    <row r="186" spans="5:7" x14ac:dyDescent="0.3">
      <c r="E186" t="s">
        <v>313</v>
      </c>
      <c r="G186" t="s">
        <v>249</v>
      </c>
    </row>
    <row r="187" spans="5:7" x14ac:dyDescent="0.3">
      <c r="E187" t="s">
        <v>314</v>
      </c>
      <c r="G187" t="s">
        <v>250</v>
      </c>
    </row>
    <row r="188" spans="5:7" x14ac:dyDescent="0.3">
      <c r="E188" t="s">
        <v>315</v>
      </c>
      <c r="G188" t="s">
        <v>251</v>
      </c>
    </row>
    <row r="190" spans="5:7" x14ac:dyDescent="0.3">
      <c r="E190" t="s">
        <v>316</v>
      </c>
      <c r="G190" t="s">
        <v>252</v>
      </c>
    </row>
    <row r="191" spans="5:7" x14ac:dyDescent="0.3">
      <c r="E191" t="s">
        <v>317</v>
      </c>
      <c r="G191" t="s">
        <v>253</v>
      </c>
    </row>
    <row r="192" spans="5:7" x14ac:dyDescent="0.3">
      <c r="E192" t="s">
        <v>318</v>
      </c>
      <c r="G192" t="s">
        <v>254</v>
      </c>
    </row>
    <row r="193" spans="5:7" x14ac:dyDescent="0.3">
      <c r="E193" t="s">
        <v>319</v>
      </c>
      <c r="G193" t="s">
        <v>255</v>
      </c>
    </row>
    <row r="194" spans="5:7" x14ac:dyDescent="0.3">
      <c r="E194" t="s">
        <v>320</v>
      </c>
      <c r="G194" t="s">
        <v>256</v>
      </c>
    </row>
    <row r="195" spans="5:7" x14ac:dyDescent="0.3">
      <c r="E195" t="s">
        <v>321</v>
      </c>
      <c r="G195" t="s">
        <v>257</v>
      </c>
    </row>
    <row r="196" spans="5:7" x14ac:dyDescent="0.3">
      <c r="E196" t="s">
        <v>322</v>
      </c>
      <c r="G196" t="s">
        <v>258</v>
      </c>
    </row>
    <row r="197" spans="5:7" x14ac:dyDescent="0.3">
      <c r="E197" t="s">
        <v>323</v>
      </c>
      <c r="G197" t="s">
        <v>259</v>
      </c>
    </row>
    <row r="198" spans="5:7" x14ac:dyDescent="0.3">
      <c r="E198" t="s">
        <v>324</v>
      </c>
      <c r="G198" t="s">
        <v>260</v>
      </c>
    </row>
    <row r="199" spans="5:7" x14ac:dyDescent="0.3">
      <c r="E199" t="s">
        <v>325</v>
      </c>
      <c r="G199" t="s">
        <v>261</v>
      </c>
    </row>
    <row r="200" spans="5:7" x14ac:dyDescent="0.3">
      <c r="E200" t="s">
        <v>326</v>
      </c>
      <c r="G200" t="s">
        <v>262</v>
      </c>
    </row>
    <row r="201" spans="5:7" x14ac:dyDescent="0.3">
      <c r="E201" t="s">
        <v>327</v>
      </c>
      <c r="G201" t="s">
        <v>263</v>
      </c>
    </row>
    <row r="202" spans="5:7" x14ac:dyDescent="0.3">
      <c r="E202" t="s">
        <v>328</v>
      </c>
      <c r="G202" t="s">
        <v>264</v>
      </c>
    </row>
    <row r="203" spans="5:7" x14ac:dyDescent="0.3">
      <c r="E203" t="s">
        <v>329</v>
      </c>
      <c r="G203" t="s">
        <v>265</v>
      </c>
    </row>
    <row r="204" spans="5:7" x14ac:dyDescent="0.3">
      <c r="E204" t="s">
        <v>330</v>
      </c>
      <c r="G204" t="s">
        <v>266</v>
      </c>
    </row>
    <row r="205" spans="5:7" x14ac:dyDescent="0.3">
      <c r="E205" t="s">
        <v>331</v>
      </c>
      <c r="G205" t="s">
        <v>267</v>
      </c>
    </row>
  </sheetData>
  <hyperlinks>
    <hyperlink ref="A3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54"/>
  <sheetViews>
    <sheetView workbookViewId="0">
      <selection sqref="A1:A1048576"/>
    </sheetView>
  </sheetViews>
  <sheetFormatPr defaultRowHeight="14.4" x14ac:dyDescent="0.3"/>
  <cols>
    <col min="1" max="1" width="40.44140625" style="4" customWidth="1"/>
    <col min="2" max="3" width="8.88671875" style="4"/>
    <col min="4" max="4" width="10.33203125" style="4" bestFit="1" customWidth="1"/>
    <col min="5" max="6" width="8.88671875" style="4"/>
    <col min="7" max="7" width="65.6640625" customWidth="1"/>
  </cols>
  <sheetData>
    <row r="2" spans="1:7" x14ac:dyDescent="0.3">
      <c r="A2" s="6"/>
    </row>
    <row r="3" spans="1:7" x14ac:dyDescent="0.3">
      <c r="A3" s="4" t="s">
        <v>332</v>
      </c>
      <c r="B3" s="4">
        <v>11</v>
      </c>
      <c r="C3" s="4" t="s">
        <v>333</v>
      </c>
      <c r="D3" s="5" t="s">
        <v>334</v>
      </c>
      <c r="E3" s="4" t="s">
        <v>335</v>
      </c>
      <c r="F3" s="4">
        <v>1</v>
      </c>
      <c r="G3" t="str">
        <f>CONCATENATE($A$3,$B$3,$C$3,$D$3,$E$3,F3)</f>
        <v>https://epaper.punyanagari.in/?url=home&amp;ced=11&amp;date=01/10/2026&amp;page=1</v>
      </c>
    </row>
    <row r="4" spans="1:7" x14ac:dyDescent="0.3">
      <c r="B4" s="4">
        <v>16</v>
      </c>
      <c r="F4" s="4">
        <v>2</v>
      </c>
      <c r="G4" t="str">
        <f t="shared" ref="G4:G18" si="0">CONCATENATE($A$3,$B$3,$C$3,$D$3,$E$3,F4)</f>
        <v>https://epaper.punyanagari.in/?url=home&amp;ced=11&amp;date=01/10/2026&amp;page=2</v>
      </c>
    </row>
    <row r="5" spans="1:7" x14ac:dyDescent="0.3">
      <c r="B5" s="4">
        <v>17</v>
      </c>
      <c r="F5" s="4">
        <v>3</v>
      </c>
      <c r="G5" t="str">
        <f t="shared" si="0"/>
        <v>https://epaper.punyanagari.in/?url=home&amp;ced=11&amp;date=01/10/2026&amp;page=3</v>
      </c>
    </row>
    <row r="6" spans="1:7" x14ac:dyDescent="0.3">
      <c r="B6" s="4">
        <v>29</v>
      </c>
      <c r="F6" s="4">
        <v>4</v>
      </c>
      <c r="G6" t="str">
        <f t="shared" si="0"/>
        <v>https://epaper.punyanagari.in/?url=home&amp;ced=11&amp;date=01/10/2026&amp;page=4</v>
      </c>
    </row>
    <row r="7" spans="1:7" x14ac:dyDescent="0.3">
      <c r="B7" s="4">
        <v>33</v>
      </c>
      <c r="F7" s="4">
        <v>5</v>
      </c>
      <c r="G7" t="str">
        <f t="shared" si="0"/>
        <v>https://epaper.punyanagari.in/?url=home&amp;ced=11&amp;date=01/10/2026&amp;page=5</v>
      </c>
    </row>
    <row r="8" spans="1:7" x14ac:dyDescent="0.3">
      <c r="B8" s="4">
        <v>30</v>
      </c>
      <c r="F8" s="4">
        <v>6</v>
      </c>
      <c r="G8" t="str">
        <f t="shared" si="0"/>
        <v>https://epaper.punyanagari.in/?url=home&amp;ced=11&amp;date=01/10/2026&amp;page=6</v>
      </c>
    </row>
    <row r="9" spans="1:7" x14ac:dyDescent="0.3">
      <c r="B9" s="4">
        <v>34</v>
      </c>
      <c r="F9" s="4">
        <v>7</v>
      </c>
      <c r="G9" t="str">
        <f t="shared" si="0"/>
        <v>https://epaper.punyanagari.in/?url=home&amp;ced=11&amp;date=01/10/2026&amp;page=7</v>
      </c>
    </row>
    <row r="10" spans="1:7" x14ac:dyDescent="0.3">
      <c r="B10" s="4">
        <v>31</v>
      </c>
      <c r="F10" s="4">
        <v>8</v>
      </c>
      <c r="G10" t="str">
        <f t="shared" si="0"/>
        <v>https://epaper.punyanagari.in/?url=home&amp;ced=11&amp;date=01/10/2026&amp;page=8</v>
      </c>
    </row>
    <row r="11" spans="1:7" x14ac:dyDescent="0.3">
      <c r="B11" s="4">
        <v>32</v>
      </c>
      <c r="F11" s="4">
        <v>9</v>
      </c>
      <c r="G11" t="str">
        <f t="shared" si="0"/>
        <v>https://epaper.punyanagari.in/?url=home&amp;ced=11&amp;date=01/10/2026&amp;page=9</v>
      </c>
    </row>
    <row r="12" spans="1:7" x14ac:dyDescent="0.3">
      <c r="F12" s="4">
        <v>10</v>
      </c>
      <c r="G12" t="str">
        <f t="shared" si="0"/>
        <v>https://epaper.punyanagari.in/?url=home&amp;ced=11&amp;date=01/10/2026&amp;page=10</v>
      </c>
    </row>
    <row r="13" spans="1:7" x14ac:dyDescent="0.3">
      <c r="F13" s="4">
        <v>11</v>
      </c>
      <c r="G13" t="str">
        <f t="shared" si="0"/>
        <v>https://epaper.punyanagari.in/?url=home&amp;ced=11&amp;date=01/10/2026&amp;page=11</v>
      </c>
    </row>
    <row r="14" spans="1:7" x14ac:dyDescent="0.3">
      <c r="F14" s="4">
        <v>12</v>
      </c>
      <c r="G14" t="str">
        <f t="shared" si="0"/>
        <v>https://epaper.punyanagari.in/?url=home&amp;ced=11&amp;date=01/10/2026&amp;page=12</v>
      </c>
    </row>
    <row r="15" spans="1:7" x14ac:dyDescent="0.3">
      <c r="F15" s="4">
        <v>13</v>
      </c>
      <c r="G15" t="str">
        <f t="shared" si="0"/>
        <v>https://epaper.punyanagari.in/?url=home&amp;ced=11&amp;date=01/10/2026&amp;page=13</v>
      </c>
    </row>
    <row r="16" spans="1:7" x14ac:dyDescent="0.3">
      <c r="F16" s="4">
        <v>14</v>
      </c>
      <c r="G16" t="str">
        <f t="shared" si="0"/>
        <v>https://epaper.punyanagari.in/?url=home&amp;ced=11&amp;date=01/10/2026&amp;page=14</v>
      </c>
    </row>
    <row r="17" spans="6:7" x14ac:dyDescent="0.3">
      <c r="F17" s="4">
        <v>15</v>
      </c>
      <c r="G17" t="str">
        <f t="shared" si="0"/>
        <v>https://epaper.punyanagari.in/?url=home&amp;ced=11&amp;date=01/10/2026&amp;page=15</v>
      </c>
    </row>
    <row r="18" spans="6:7" x14ac:dyDescent="0.3">
      <c r="F18" s="4">
        <v>16</v>
      </c>
      <c r="G18" t="str">
        <f t="shared" si="0"/>
        <v>https://epaper.punyanagari.in/?url=home&amp;ced=11&amp;date=01/10/2026&amp;page=16</v>
      </c>
    </row>
    <row r="20" spans="6:7" x14ac:dyDescent="0.3">
      <c r="G20" t="str">
        <f>CONCATENATE($A$3,$B$4,$C$3,$D$3,$E$3,F3)</f>
        <v>https://epaper.punyanagari.in/?url=home&amp;ced=16&amp;date=01/10/2026&amp;page=1</v>
      </c>
    </row>
    <row r="21" spans="6:7" x14ac:dyDescent="0.3">
      <c r="G21" t="str">
        <f t="shared" ref="G21:G35" si="1">CONCATENATE($A$3,$B$4,$C$3,$D$3,$E$3,F4)</f>
        <v>https://epaper.punyanagari.in/?url=home&amp;ced=16&amp;date=01/10/2026&amp;page=2</v>
      </c>
    </row>
    <row r="22" spans="6:7" x14ac:dyDescent="0.3">
      <c r="G22" t="str">
        <f t="shared" si="1"/>
        <v>https://epaper.punyanagari.in/?url=home&amp;ced=16&amp;date=01/10/2026&amp;page=3</v>
      </c>
    </row>
    <row r="23" spans="6:7" x14ac:dyDescent="0.3">
      <c r="G23" t="str">
        <f t="shared" si="1"/>
        <v>https://epaper.punyanagari.in/?url=home&amp;ced=16&amp;date=01/10/2026&amp;page=4</v>
      </c>
    </row>
    <row r="24" spans="6:7" x14ac:dyDescent="0.3">
      <c r="G24" t="str">
        <f t="shared" si="1"/>
        <v>https://epaper.punyanagari.in/?url=home&amp;ced=16&amp;date=01/10/2026&amp;page=5</v>
      </c>
    </row>
    <row r="25" spans="6:7" x14ac:dyDescent="0.3">
      <c r="G25" t="str">
        <f t="shared" si="1"/>
        <v>https://epaper.punyanagari.in/?url=home&amp;ced=16&amp;date=01/10/2026&amp;page=6</v>
      </c>
    </row>
    <row r="26" spans="6:7" x14ac:dyDescent="0.3">
      <c r="G26" t="str">
        <f t="shared" si="1"/>
        <v>https://epaper.punyanagari.in/?url=home&amp;ced=16&amp;date=01/10/2026&amp;page=7</v>
      </c>
    </row>
    <row r="27" spans="6:7" x14ac:dyDescent="0.3">
      <c r="G27" t="str">
        <f t="shared" si="1"/>
        <v>https://epaper.punyanagari.in/?url=home&amp;ced=16&amp;date=01/10/2026&amp;page=8</v>
      </c>
    </row>
    <row r="28" spans="6:7" x14ac:dyDescent="0.3">
      <c r="G28" t="str">
        <f t="shared" si="1"/>
        <v>https://epaper.punyanagari.in/?url=home&amp;ced=16&amp;date=01/10/2026&amp;page=9</v>
      </c>
    </row>
    <row r="29" spans="6:7" x14ac:dyDescent="0.3">
      <c r="G29" t="str">
        <f t="shared" si="1"/>
        <v>https://epaper.punyanagari.in/?url=home&amp;ced=16&amp;date=01/10/2026&amp;page=10</v>
      </c>
    </row>
    <row r="30" spans="6:7" x14ac:dyDescent="0.3">
      <c r="G30" t="str">
        <f t="shared" si="1"/>
        <v>https://epaper.punyanagari.in/?url=home&amp;ced=16&amp;date=01/10/2026&amp;page=11</v>
      </c>
    </row>
    <row r="31" spans="6:7" x14ac:dyDescent="0.3">
      <c r="G31" t="str">
        <f t="shared" si="1"/>
        <v>https://epaper.punyanagari.in/?url=home&amp;ced=16&amp;date=01/10/2026&amp;page=12</v>
      </c>
    </row>
    <row r="32" spans="6:7" x14ac:dyDescent="0.3">
      <c r="G32" t="str">
        <f t="shared" si="1"/>
        <v>https://epaper.punyanagari.in/?url=home&amp;ced=16&amp;date=01/10/2026&amp;page=13</v>
      </c>
    </row>
    <row r="33" spans="7:7" x14ac:dyDescent="0.3">
      <c r="G33" t="str">
        <f t="shared" si="1"/>
        <v>https://epaper.punyanagari.in/?url=home&amp;ced=16&amp;date=01/10/2026&amp;page=14</v>
      </c>
    </row>
    <row r="34" spans="7:7" x14ac:dyDescent="0.3">
      <c r="G34" t="str">
        <f t="shared" si="1"/>
        <v>https://epaper.punyanagari.in/?url=home&amp;ced=16&amp;date=01/10/2026&amp;page=15</v>
      </c>
    </row>
    <row r="35" spans="7:7" x14ac:dyDescent="0.3">
      <c r="G35" t="str">
        <f t="shared" si="1"/>
        <v>https://epaper.punyanagari.in/?url=home&amp;ced=16&amp;date=01/10/2026&amp;page=16</v>
      </c>
    </row>
    <row r="37" spans="7:7" x14ac:dyDescent="0.3">
      <c r="G37" t="str">
        <f>CONCATENATE($A$3,$B$5,$C$3,$D$3,$E$3,F3)</f>
        <v>https://epaper.punyanagari.in/?url=home&amp;ced=17&amp;date=01/10/2026&amp;page=1</v>
      </c>
    </row>
    <row r="38" spans="7:7" x14ac:dyDescent="0.3">
      <c r="G38" t="str">
        <f t="shared" ref="G38:G52" si="2">CONCATENATE($A$3,$B$5,$C$3,$D$3,$E$3,F4)</f>
        <v>https://epaper.punyanagari.in/?url=home&amp;ced=17&amp;date=01/10/2026&amp;page=2</v>
      </c>
    </row>
    <row r="39" spans="7:7" x14ac:dyDescent="0.3">
      <c r="G39" t="str">
        <f t="shared" si="2"/>
        <v>https://epaper.punyanagari.in/?url=home&amp;ced=17&amp;date=01/10/2026&amp;page=3</v>
      </c>
    </row>
    <row r="40" spans="7:7" x14ac:dyDescent="0.3">
      <c r="G40" t="str">
        <f t="shared" si="2"/>
        <v>https://epaper.punyanagari.in/?url=home&amp;ced=17&amp;date=01/10/2026&amp;page=4</v>
      </c>
    </row>
    <row r="41" spans="7:7" x14ac:dyDescent="0.3">
      <c r="G41" t="str">
        <f t="shared" si="2"/>
        <v>https://epaper.punyanagari.in/?url=home&amp;ced=17&amp;date=01/10/2026&amp;page=5</v>
      </c>
    </row>
    <row r="42" spans="7:7" x14ac:dyDescent="0.3">
      <c r="G42" t="str">
        <f t="shared" si="2"/>
        <v>https://epaper.punyanagari.in/?url=home&amp;ced=17&amp;date=01/10/2026&amp;page=6</v>
      </c>
    </row>
    <row r="43" spans="7:7" x14ac:dyDescent="0.3">
      <c r="G43" t="str">
        <f t="shared" si="2"/>
        <v>https://epaper.punyanagari.in/?url=home&amp;ced=17&amp;date=01/10/2026&amp;page=7</v>
      </c>
    </row>
    <row r="44" spans="7:7" x14ac:dyDescent="0.3">
      <c r="G44" t="str">
        <f t="shared" si="2"/>
        <v>https://epaper.punyanagari.in/?url=home&amp;ced=17&amp;date=01/10/2026&amp;page=8</v>
      </c>
    </row>
    <row r="45" spans="7:7" x14ac:dyDescent="0.3">
      <c r="G45" t="str">
        <f t="shared" si="2"/>
        <v>https://epaper.punyanagari.in/?url=home&amp;ced=17&amp;date=01/10/2026&amp;page=9</v>
      </c>
    </row>
    <row r="46" spans="7:7" x14ac:dyDescent="0.3">
      <c r="G46" t="str">
        <f t="shared" si="2"/>
        <v>https://epaper.punyanagari.in/?url=home&amp;ced=17&amp;date=01/10/2026&amp;page=10</v>
      </c>
    </row>
    <row r="47" spans="7:7" x14ac:dyDescent="0.3">
      <c r="G47" t="str">
        <f t="shared" si="2"/>
        <v>https://epaper.punyanagari.in/?url=home&amp;ced=17&amp;date=01/10/2026&amp;page=11</v>
      </c>
    </row>
    <row r="48" spans="7:7" x14ac:dyDescent="0.3">
      <c r="G48" t="str">
        <f t="shared" si="2"/>
        <v>https://epaper.punyanagari.in/?url=home&amp;ced=17&amp;date=01/10/2026&amp;page=12</v>
      </c>
    </row>
    <row r="49" spans="7:7" x14ac:dyDescent="0.3">
      <c r="G49" t="str">
        <f t="shared" si="2"/>
        <v>https://epaper.punyanagari.in/?url=home&amp;ced=17&amp;date=01/10/2026&amp;page=13</v>
      </c>
    </row>
    <row r="50" spans="7:7" x14ac:dyDescent="0.3">
      <c r="G50" t="str">
        <f t="shared" si="2"/>
        <v>https://epaper.punyanagari.in/?url=home&amp;ced=17&amp;date=01/10/2026&amp;page=14</v>
      </c>
    </row>
    <row r="51" spans="7:7" x14ac:dyDescent="0.3">
      <c r="G51" t="str">
        <f t="shared" si="2"/>
        <v>https://epaper.punyanagari.in/?url=home&amp;ced=17&amp;date=01/10/2026&amp;page=15</v>
      </c>
    </row>
    <row r="52" spans="7:7" x14ac:dyDescent="0.3">
      <c r="G52" t="str">
        <f t="shared" si="2"/>
        <v>https://epaper.punyanagari.in/?url=home&amp;ced=17&amp;date=01/10/2026&amp;page=16</v>
      </c>
    </row>
    <row r="54" spans="7:7" x14ac:dyDescent="0.3">
      <c r="G54" t="str">
        <f>CONCATENATE($A$3,$B$6,$C$3,$D$3,$E$3,F3)</f>
        <v>https://epaper.punyanagari.in/?url=home&amp;ced=29&amp;date=01/10/2026&amp;page=1</v>
      </c>
    </row>
    <row r="55" spans="7:7" x14ac:dyDescent="0.3">
      <c r="G55" t="str">
        <f t="shared" ref="G55:G69" si="3">CONCATENATE($A$3,$B$6,$C$3,$D$3,$E$3,F4)</f>
        <v>https://epaper.punyanagari.in/?url=home&amp;ced=29&amp;date=01/10/2026&amp;page=2</v>
      </c>
    </row>
    <row r="56" spans="7:7" x14ac:dyDescent="0.3">
      <c r="G56" t="str">
        <f t="shared" si="3"/>
        <v>https://epaper.punyanagari.in/?url=home&amp;ced=29&amp;date=01/10/2026&amp;page=3</v>
      </c>
    </row>
    <row r="57" spans="7:7" x14ac:dyDescent="0.3">
      <c r="G57" t="str">
        <f t="shared" si="3"/>
        <v>https://epaper.punyanagari.in/?url=home&amp;ced=29&amp;date=01/10/2026&amp;page=4</v>
      </c>
    </row>
    <row r="58" spans="7:7" x14ac:dyDescent="0.3">
      <c r="G58" t="str">
        <f t="shared" si="3"/>
        <v>https://epaper.punyanagari.in/?url=home&amp;ced=29&amp;date=01/10/2026&amp;page=5</v>
      </c>
    </row>
    <row r="59" spans="7:7" x14ac:dyDescent="0.3">
      <c r="G59" t="str">
        <f t="shared" si="3"/>
        <v>https://epaper.punyanagari.in/?url=home&amp;ced=29&amp;date=01/10/2026&amp;page=6</v>
      </c>
    </row>
    <row r="60" spans="7:7" x14ac:dyDescent="0.3">
      <c r="G60" t="str">
        <f t="shared" si="3"/>
        <v>https://epaper.punyanagari.in/?url=home&amp;ced=29&amp;date=01/10/2026&amp;page=7</v>
      </c>
    </row>
    <row r="61" spans="7:7" x14ac:dyDescent="0.3">
      <c r="G61" t="str">
        <f t="shared" si="3"/>
        <v>https://epaper.punyanagari.in/?url=home&amp;ced=29&amp;date=01/10/2026&amp;page=8</v>
      </c>
    </row>
    <row r="62" spans="7:7" x14ac:dyDescent="0.3">
      <c r="G62" t="str">
        <f t="shared" si="3"/>
        <v>https://epaper.punyanagari.in/?url=home&amp;ced=29&amp;date=01/10/2026&amp;page=9</v>
      </c>
    </row>
    <row r="63" spans="7:7" x14ac:dyDescent="0.3">
      <c r="G63" t="str">
        <f t="shared" si="3"/>
        <v>https://epaper.punyanagari.in/?url=home&amp;ced=29&amp;date=01/10/2026&amp;page=10</v>
      </c>
    </row>
    <row r="64" spans="7:7" x14ac:dyDescent="0.3">
      <c r="G64" t="str">
        <f t="shared" si="3"/>
        <v>https://epaper.punyanagari.in/?url=home&amp;ced=29&amp;date=01/10/2026&amp;page=11</v>
      </c>
    </row>
    <row r="65" spans="7:7" x14ac:dyDescent="0.3">
      <c r="G65" t="str">
        <f t="shared" si="3"/>
        <v>https://epaper.punyanagari.in/?url=home&amp;ced=29&amp;date=01/10/2026&amp;page=12</v>
      </c>
    </row>
    <row r="66" spans="7:7" x14ac:dyDescent="0.3">
      <c r="G66" t="str">
        <f t="shared" si="3"/>
        <v>https://epaper.punyanagari.in/?url=home&amp;ced=29&amp;date=01/10/2026&amp;page=13</v>
      </c>
    </row>
    <row r="67" spans="7:7" x14ac:dyDescent="0.3">
      <c r="G67" t="str">
        <f t="shared" si="3"/>
        <v>https://epaper.punyanagari.in/?url=home&amp;ced=29&amp;date=01/10/2026&amp;page=14</v>
      </c>
    </row>
    <row r="68" spans="7:7" x14ac:dyDescent="0.3">
      <c r="G68" t="str">
        <f t="shared" si="3"/>
        <v>https://epaper.punyanagari.in/?url=home&amp;ced=29&amp;date=01/10/2026&amp;page=15</v>
      </c>
    </row>
    <row r="69" spans="7:7" x14ac:dyDescent="0.3">
      <c r="G69" t="str">
        <f t="shared" si="3"/>
        <v>https://epaper.punyanagari.in/?url=home&amp;ced=29&amp;date=01/10/2026&amp;page=16</v>
      </c>
    </row>
    <row r="71" spans="7:7" x14ac:dyDescent="0.3">
      <c r="G71" t="str">
        <f>CONCATENATE($A$3,$B$7,$C$3,$D$3,$E$3,F3)</f>
        <v>https://epaper.punyanagari.in/?url=home&amp;ced=33&amp;date=01/10/2026&amp;page=1</v>
      </c>
    </row>
    <row r="72" spans="7:7" x14ac:dyDescent="0.3">
      <c r="G72" t="str">
        <f t="shared" ref="G72:G86" si="4">CONCATENATE($A$3,$B$7,$C$3,$D$3,$E$3,F4)</f>
        <v>https://epaper.punyanagari.in/?url=home&amp;ced=33&amp;date=01/10/2026&amp;page=2</v>
      </c>
    </row>
    <row r="73" spans="7:7" x14ac:dyDescent="0.3">
      <c r="G73" t="str">
        <f t="shared" si="4"/>
        <v>https://epaper.punyanagari.in/?url=home&amp;ced=33&amp;date=01/10/2026&amp;page=3</v>
      </c>
    </row>
    <row r="74" spans="7:7" x14ac:dyDescent="0.3">
      <c r="G74" t="str">
        <f t="shared" si="4"/>
        <v>https://epaper.punyanagari.in/?url=home&amp;ced=33&amp;date=01/10/2026&amp;page=4</v>
      </c>
    </row>
    <row r="75" spans="7:7" x14ac:dyDescent="0.3">
      <c r="G75" t="str">
        <f t="shared" si="4"/>
        <v>https://epaper.punyanagari.in/?url=home&amp;ced=33&amp;date=01/10/2026&amp;page=5</v>
      </c>
    </row>
    <row r="76" spans="7:7" x14ac:dyDescent="0.3">
      <c r="G76" t="str">
        <f t="shared" si="4"/>
        <v>https://epaper.punyanagari.in/?url=home&amp;ced=33&amp;date=01/10/2026&amp;page=6</v>
      </c>
    </row>
    <row r="77" spans="7:7" x14ac:dyDescent="0.3">
      <c r="G77" t="str">
        <f t="shared" si="4"/>
        <v>https://epaper.punyanagari.in/?url=home&amp;ced=33&amp;date=01/10/2026&amp;page=7</v>
      </c>
    </row>
    <row r="78" spans="7:7" x14ac:dyDescent="0.3">
      <c r="G78" t="str">
        <f t="shared" si="4"/>
        <v>https://epaper.punyanagari.in/?url=home&amp;ced=33&amp;date=01/10/2026&amp;page=8</v>
      </c>
    </row>
    <row r="79" spans="7:7" x14ac:dyDescent="0.3">
      <c r="G79" t="str">
        <f t="shared" si="4"/>
        <v>https://epaper.punyanagari.in/?url=home&amp;ced=33&amp;date=01/10/2026&amp;page=9</v>
      </c>
    </row>
    <row r="80" spans="7:7" x14ac:dyDescent="0.3">
      <c r="G80" t="str">
        <f t="shared" si="4"/>
        <v>https://epaper.punyanagari.in/?url=home&amp;ced=33&amp;date=01/10/2026&amp;page=10</v>
      </c>
    </row>
    <row r="81" spans="7:7" x14ac:dyDescent="0.3">
      <c r="G81" t="str">
        <f t="shared" si="4"/>
        <v>https://epaper.punyanagari.in/?url=home&amp;ced=33&amp;date=01/10/2026&amp;page=11</v>
      </c>
    </row>
    <row r="82" spans="7:7" x14ac:dyDescent="0.3">
      <c r="G82" t="str">
        <f t="shared" si="4"/>
        <v>https://epaper.punyanagari.in/?url=home&amp;ced=33&amp;date=01/10/2026&amp;page=12</v>
      </c>
    </row>
    <row r="83" spans="7:7" x14ac:dyDescent="0.3">
      <c r="G83" t="str">
        <f t="shared" si="4"/>
        <v>https://epaper.punyanagari.in/?url=home&amp;ced=33&amp;date=01/10/2026&amp;page=13</v>
      </c>
    </row>
    <row r="84" spans="7:7" x14ac:dyDescent="0.3">
      <c r="G84" t="str">
        <f t="shared" si="4"/>
        <v>https://epaper.punyanagari.in/?url=home&amp;ced=33&amp;date=01/10/2026&amp;page=14</v>
      </c>
    </row>
    <row r="85" spans="7:7" x14ac:dyDescent="0.3">
      <c r="G85" t="str">
        <f t="shared" si="4"/>
        <v>https://epaper.punyanagari.in/?url=home&amp;ced=33&amp;date=01/10/2026&amp;page=15</v>
      </c>
    </row>
    <row r="86" spans="7:7" x14ac:dyDescent="0.3">
      <c r="G86" t="str">
        <f t="shared" si="4"/>
        <v>https://epaper.punyanagari.in/?url=home&amp;ced=33&amp;date=01/10/2026&amp;page=16</v>
      </c>
    </row>
    <row r="88" spans="7:7" x14ac:dyDescent="0.3">
      <c r="G88" t="str">
        <f>CONCATENATE($A$3,$B$8,$C$3,$D$3,$E$3,F3)</f>
        <v>https://epaper.punyanagari.in/?url=home&amp;ced=30&amp;date=01/10/2026&amp;page=1</v>
      </c>
    </row>
    <row r="89" spans="7:7" x14ac:dyDescent="0.3">
      <c r="G89" t="str">
        <f t="shared" ref="G89:G103" si="5">CONCATENATE($A$3,$B$8,$C$3,$D$3,$E$3,F4)</f>
        <v>https://epaper.punyanagari.in/?url=home&amp;ced=30&amp;date=01/10/2026&amp;page=2</v>
      </c>
    </row>
    <row r="90" spans="7:7" x14ac:dyDescent="0.3">
      <c r="G90" t="str">
        <f t="shared" si="5"/>
        <v>https://epaper.punyanagari.in/?url=home&amp;ced=30&amp;date=01/10/2026&amp;page=3</v>
      </c>
    </row>
    <row r="91" spans="7:7" x14ac:dyDescent="0.3">
      <c r="G91" t="str">
        <f t="shared" si="5"/>
        <v>https://epaper.punyanagari.in/?url=home&amp;ced=30&amp;date=01/10/2026&amp;page=4</v>
      </c>
    </row>
    <row r="92" spans="7:7" x14ac:dyDescent="0.3">
      <c r="G92" t="str">
        <f t="shared" si="5"/>
        <v>https://epaper.punyanagari.in/?url=home&amp;ced=30&amp;date=01/10/2026&amp;page=5</v>
      </c>
    </row>
    <row r="93" spans="7:7" x14ac:dyDescent="0.3">
      <c r="G93" t="str">
        <f t="shared" si="5"/>
        <v>https://epaper.punyanagari.in/?url=home&amp;ced=30&amp;date=01/10/2026&amp;page=6</v>
      </c>
    </row>
    <row r="94" spans="7:7" x14ac:dyDescent="0.3">
      <c r="G94" t="str">
        <f t="shared" si="5"/>
        <v>https://epaper.punyanagari.in/?url=home&amp;ced=30&amp;date=01/10/2026&amp;page=7</v>
      </c>
    </row>
    <row r="95" spans="7:7" x14ac:dyDescent="0.3">
      <c r="G95" t="str">
        <f t="shared" si="5"/>
        <v>https://epaper.punyanagari.in/?url=home&amp;ced=30&amp;date=01/10/2026&amp;page=8</v>
      </c>
    </row>
    <row r="96" spans="7:7" x14ac:dyDescent="0.3">
      <c r="G96" t="str">
        <f t="shared" si="5"/>
        <v>https://epaper.punyanagari.in/?url=home&amp;ced=30&amp;date=01/10/2026&amp;page=9</v>
      </c>
    </row>
    <row r="97" spans="7:7" x14ac:dyDescent="0.3">
      <c r="G97" t="str">
        <f t="shared" si="5"/>
        <v>https://epaper.punyanagari.in/?url=home&amp;ced=30&amp;date=01/10/2026&amp;page=10</v>
      </c>
    </row>
    <row r="98" spans="7:7" x14ac:dyDescent="0.3">
      <c r="G98" t="str">
        <f t="shared" si="5"/>
        <v>https://epaper.punyanagari.in/?url=home&amp;ced=30&amp;date=01/10/2026&amp;page=11</v>
      </c>
    </row>
    <row r="99" spans="7:7" x14ac:dyDescent="0.3">
      <c r="G99" t="str">
        <f t="shared" si="5"/>
        <v>https://epaper.punyanagari.in/?url=home&amp;ced=30&amp;date=01/10/2026&amp;page=12</v>
      </c>
    </row>
    <row r="100" spans="7:7" x14ac:dyDescent="0.3">
      <c r="G100" t="str">
        <f t="shared" si="5"/>
        <v>https://epaper.punyanagari.in/?url=home&amp;ced=30&amp;date=01/10/2026&amp;page=13</v>
      </c>
    </row>
    <row r="101" spans="7:7" x14ac:dyDescent="0.3">
      <c r="G101" t="str">
        <f t="shared" si="5"/>
        <v>https://epaper.punyanagari.in/?url=home&amp;ced=30&amp;date=01/10/2026&amp;page=14</v>
      </c>
    </row>
    <row r="102" spans="7:7" x14ac:dyDescent="0.3">
      <c r="G102" t="str">
        <f>CONCATENATE($A$3,$B$8,$C$3,$D$3,$E$3,F17)</f>
        <v>https://epaper.punyanagari.in/?url=home&amp;ced=30&amp;date=01/10/2026&amp;page=15</v>
      </c>
    </row>
    <row r="103" spans="7:7" x14ac:dyDescent="0.3">
      <c r="G103" t="str">
        <f t="shared" si="5"/>
        <v>https://epaper.punyanagari.in/?url=home&amp;ced=30&amp;date=01/10/2026&amp;page=16</v>
      </c>
    </row>
    <row r="105" spans="7:7" x14ac:dyDescent="0.3">
      <c r="G105" t="str">
        <f>CONCATENATE($A$3,$B$9,$C$3,$D$3,$E$3,F3)</f>
        <v>https://epaper.punyanagari.in/?url=home&amp;ced=34&amp;date=01/10/2026&amp;page=1</v>
      </c>
    </row>
    <row r="106" spans="7:7" x14ac:dyDescent="0.3">
      <c r="G106" t="str">
        <f t="shared" ref="G106:G120" si="6">CONCATENATE($A$3,$B$9,$C$3,$D$3,$E$3,F4)</f>
        <v>https://epaper.punyanagari.in/?url=home&amp;ced=34&amp;date=01/10/2026&amp;page=2</v>
      </c>
    </row>
    <row r="107" spans="7:7" x14ac:dyDescent="0.3">
      <c r="G107" t="str">
        <f t="shared" si="6"/>
        <v>https://epaper.punyanagari.in/?url=home&amp;ced=34&amp;date=01/10/2026&amp;page=3</v>
      </c>
    </row>
    <row r="108" spans="7:7" x14ac:dyDescent="0.3">
      <c r="G108" t="str">
        <f t="shared" si="6"/>
        <v>https://epaper.punyanagari.in/?url=home&amp;ced=34&amp;date=01/10/2026&amp;page=4</v>
      </c>
    </row>
    <row r="109" spans="7:7" x14ac:dyDescent="0.3">
      <c r="G109" t="str">
        <f t="shared" si="6"/>
        <v>https://epaper.punyanagari.in/?url=home&amp;ced=34&amp;date=01/10/2026&amp;page=5</v>
      </c>
    </row>
    <row r="110" spans="7:7" x14ac:dyDescent="0.3">
      <c r="G110" t="str">
        <f t="shared" si="6"/>
        <v>https://epaper.punyanagari.in/?url=home&amp;ced=34&amp;date=01/10/2026&amp;page=6</v>
      </c>
    </row>
    <row r="111" spans="7:7" x14ac:dyDescent="0.3">
      <c r="G111" t="str">
        <f t="shared" si="6"/>
        <v>https://epaper.punyanagari.in/?url=home&amp;ced=34&amp;date=01/10/2026&amp;page=7</v>
      </c>
    </row>
    <row r="112" spans="7:7" x14ac:dyDescent="0.3">
      <c r="G112" t="str">
        <f t="shared" si="6"/>
        <v>https://epaper.punyanagari.in/?url=home&amp;ced=34&amp;date=01/10/2026&amp;page=8</v>
      </c>
    </row>
    <row r="113" spans="7:7" x14ac:dyDescent="0.3">
      <c r="G113" t="str">
        <f t="shared" si="6"/>
        <v>https://epaper.punyanagari.in/?url=home&amp;ced=34&amp;date=01/10/2026&amp;page=9</v>
      </c>
    </row>
    <row r="114" spans="7:7" x14ac:dyDescent="0.3">
      <c r="G114" t="str">
        <f t="shared" si="6"/>
        <v>https://epaper.punyanagari.in/?url=home&amp;ced=34&amp;date=01/10/2026&amp;page=10</v>
      </c>
    </row>
    <row r="115" spans="7:7" x14ac:dyDescent="0.3">
      <c r="G115" t="str">
        <f t="shared" si="6"/>
        <v>https://epaper.punyanagari.in/?url=home&amp;ced=34&amp;date=01/10/2026&amp;page=11</v>
      </c>
    </row>
    <row r="116" spans="7:7" x14ac:dyDescent="0.3">
      <c r="G116" t="str">
        <f t="shared" si="6"/>
        <v>https://epaper.punyanagari.in/?url=home&amp;ced=34&amp;date=01/10/2026&amp;page=12</v>
      </c>
    </row>
    <row r="117" spans="7:7" x14ac:dyDescent="0.3">
      <c r="G117" t="str">
        <f t="shared" si="6"/>
        <v>https://epaper.punyanagari.in/?url=home&amp;ced=34&amp;date=01/10/2026&amp;page=13</v>
      </c>
    </row>
    <row r="118" spans="7:7" x14ac:dyDescent="0.3">
      <c r="G118" t="str">
        <f t="shared" si="6"/>
        <v>https://epaper.punyanagari.in/?url=home&amp;ced=34&amp;date=01/10/2026&amp;page=14</v>
      </c>
    </row>
    <row r="119" spans="7:7" x14ac:dyDescent="0.3">
      <c r="G119" t="str">
        <f t="shared" si="6"/>
        <v>https://epaper.punyanagari.in/?url=home&amp;ced=34&amp;date=01/10/2026&amp;page=15</v>
      </c>
    </row>
    <row r="120" spans="7:7" x14ac:dyDescent="0.3">
      <c r="G120" t="str">
        <f t="shared" si="6"/>
        <v>https://epaper.punyanagari.in/?url=home&amp;ced=34&amp;date=01/10/2026&amp;page=16</v>
      </c>
    </row>
    <row r="122" spans="7:7" x14ac:dyDescent="0.3">
      <c r="G122" t="str">
        <f>CONCATENATE($A$3,$B$10,$C$3,$D$3,$E$3,F3)</f>
        <v>https://epaper.punyanagari.in/?url=home&amp;ced=31&amp;date=01/10/2026&amp;page=1</v>
      </c>
    </row>
    <row r="123" spans="7:7" x14ac:dyDescent="0.3">
      <c r="G123" t="str">
        <f t="shared" ref="G123:G137" si="7">CONCATENATE($A$3,$B$10,$C$3,$D$3,$E$3,F4)</f>
        <v>https://epaper.punyanagari.in/?url=home&amp;ced=31&amp;date=01/10/2026&amp;page=2</v>
      </c>
    </row>
    <row r="124" spans="7:7" x14ac:dyDescent="0.3">
      <c r="G124" t="str">
        <f t="shared" si="7"/>
        <v>https://epaper.punyanagari.in/?url=home&amp;ced=31&amp;date=01/10/2026&amp;page=3</v>
      </c>
    </row>
    <row r="125" spans="7:7" x14ac:dyDescent="0.3">
      <c r="G125" t="str">
        <f t="shared" si="7"/>
        <v>https://epaper.punyanagari.in/?url=home&amp;ced=31&amp;date=01/10/2026&amp;page=4</v>
      </c>
    </row>
    <row r="126" spans="7:7" x14ac:dyDescent="0.3">
      <c r="G126" t="str">
        <f t="shared" si="7"/>
        <v>https://epaper.punyanagari.in/?url=home&amp;ced=31&amp;date=01/10/2026&amp;page=5</v>
      </c>
    </row>
    <row r="127" spans="7:7" x14ac:dyDescent="0.3">
      <c r="G127" t="str">
        <f t="shared" si="7"/>
        <v>https://epaper.punyanagari.in/?url=home&amp;ced=31&amp;date=01/10/2026&amp;page=6</v>
      </c>
    </row>
    <row r="128" spans="7:7" x14ac:dyDescent="0.3">
      <c r="G128" t="str">
        <f t="shared" si="7"/>
        <v>https://epaper.punyanagari.in/?url=home&amp;ced=31&amp;date=01/10/2026&amp;page=7</v>
      </c>
    </row>
    <row r="129" spans="7:7" x14ac:dyDescent="0.3">
      <c r="G129" t="str">
        <f t="shared" si="7"/>
        <v>https://epaper.punyanagari.in/?url=home&amp;ced=31&amp;date=01/10/2026&amp;page=8</v>
      </c>
    </row>
    <row r="130" spans="7:7" x14ac:dyDescent="0.3">
      <c r="G130" t="str">
        <f t="shared" si="7"/>
        <v>https://epaper.punyanagari.in/?url=home&amp;ced=31&amp;date=01/10/2026&amp;page=9</v>
      </c>
    </row>
    <row r="131" spans="7:7" x14ac:dyDescent="0.3">
      <c r="G131" t="str">
        <f t="shared" si="7"/>
        <v>https://epaper.punyanagari.in/?url=home&amp;ced=31&amp;date=01/10/2026&amp;page=10</v>
      </c>
    </row>
    <row r="132" spans="7:7" x14ac:dyDescent="0.3">
      <c r="G132" t="str">
        <f t="shared" si="7"/>
        <v>https://epaper.punyanagari.in/?url=home&amp;ced=31&amp;date=01/10/2026&amp;page=11</v>
      </c>
    </row>
    <row r="133" spans="7:7" x14ac:dyDescent="0.3">
      <c r="G133" t="str">
        <f t="shared" si="7"/>
        <v>https://epaper.punyanagari.in/?url=home&amp;ced=31&amp;date=01/10/2026&amp;page=12</v>
      </c>
    </row>
    <row r="134" spans="7:7" x14ac:dyDescent="0.3">
      <c r="G134" t="str">
        <f t="shared" si="7"/>
        <v>https://epaper.punyanagari.in/?url=home&amp;ced=31&amp;date=01/10/2026&amp;page=13</v>
      </c>
    </row>
    <row r="135" spans="7:7" x14ac:dyDescent="0.3">
      <c r="G135" t="str">
        <f t="shared" si="7"/>
        <v>https://epaper.punyanagari.in/?url=home&amp;ced=31&amp;date=01/10/2026&amp;page=14</v>
      </c>
    </row>
    <row r="136" spans="7:7" x14ac:dyDescent="0.3">
      <c r="G136" t="str">
        <f t="shared" si="7"/>
        <v>https://epaper.punyanagari.in/?url=home&amp;ced=31&amp;date=01/10/2026&amp;page=15</v>
      </c>
    </row>
    <row r="137" spans="7:7" x14ac:dyDescent="0.3">
      <c r="G137" t="str">
        <f t="shared" si="7"/>
        <v>https://epaper.punyanagari.in/?url=home&amp;ced=31&amp;date=01/10/2026&amp;page=16</v>
      </c>
    </row>
    <row r="139" spans="7:7" x14ac:dyDescent="0.3">
      <c r="G139" t="str">
        <f>CONCATENATE($A$3,$B$11,$C$3,$D$3,$E$3,F3)</f>
        <v>https://epaper.punyanagari.in/?url=home&amp;ced=32&amp;date=01/10/2026&amp;page=1</v>
      </c>
    </row>
    <row r="140" spans="7:7" x14ac:dyDescent="0.3">
      <c r="G140" t="str">
        <f t="shared" ref="G140:G154" si="8">CONCATENATE($A$3,$B$11,$C$3,$D$3,$E$3,F4)</f>
        <v>https://epaper.punyanagari.in/?url=home&amp;ced=32&amp;date=01/10/2026&amp;page=2</v>
      </c>
    </row>
    <row r="141" spans="7:7" x14ac:dyDescent="0.3">
      <c r="G141" t="str">
        <f t="shared" si="8"/>
        <v>https://epaper.punyanagari.in/?url=home&amp;ced=32&amp;date=01/10/2026&amp;page=3</v>
      </c>
    </row>
    <row r="142" spans="7:7" x14ac:dyDescent="0.3">
      <c r="G142" t="str">
        <f t="shared" si="8"/>
        <v>https://epaper.punyanagari.in/?url=home&amp;ced=32&amp;date=01/10/2026&amp;page=4</v>
      </c>
    </row>
    <row r="143" spans="7:7" x14ac:dyDescent="0.3">
      <c r="G143" t="str">
        <f t="shared" si="8"/>
        <v>https://epaper.punyanagari.in/?url=home&amp;ced=32&amp;date=01/10/2026&amp;page=5</v>
      </c>
    </row>
    <row r="144" spans="7:7" x14ac:dyDescent="0.3">
      <c r="G144" t="str">
        <f t="shared" si="8"/>
        <v>https://epaper.punyanagari.in/?url=home&amp;ced=32&amp;date=01/10/2026&amp;page=6</v>
      </c>
    </row>
    <row r="145" spans="7:7" x14ac:dyDescent="0.3">
      <c r="G145" t="str">
        <f t="shared" si="8"/>
        <v>https://epaper.punyanagari.in/?url=home&amp;ced=32&amp;date=01/10/2026&amp;page=7</v>
      </c>
    </row>
    <row r="146" spans="7:7" x14ac:dyDescent="0.3">
      <c r="G146" t="str">
        <f t="shared" si="8"/>
        <v>https://epaper.punyanagari.in/?url=home&amp;ced=32&amp;date=01/10/2026&amp;page=8</v>
      </c>
    </row>
    <row r="147" spans="7:7" x14ac:dyDescent="0.3">
      <c r="G147" t="str">
        <f t="shared" si="8"/>
        <v>https://epaper.punyanagari.in/?url=home&amp;ced=32&amp;date=01/10/2026&amp;page=9</v>
      </c>
    </row>
    <row r="148" spans="7:7" x14ac:dyDescent="0.3">
      <c r="G148" t="str">
        <f t="shared" si="8"/>
        <v>https://epaper.punyanagari.in/?url=home&amp;ced=32&amp;date=01/10/2026&amp;page=10</v>
      </c>
    </row>
    <row r="149" spans="7:7" x14ac:dyDescent="0.3">
      <c r="G149" t="str">
        <f t="shared" si="8"/>
        <v>https://epaper.punyanagari.in/?url=home&amp;ced=32&amp;date=01/10/2026&amp;page=11</v>
      </c>
    </row>
    <row r="150" spans="7:7" x14ac:dyDescent="0.3">
      <c r="G150" t="str">
        <f t="shared" si="8"/>
        <v>https://epaper.punyanagari.in/?url=home&amp;ced=32&amp;date=01/10/2026&amp;page=12</v>
      </c>
    </row>
    <row r="151" spans="7:7" x14ac:dyDescent="0.3">
      <c r="G151" t="str">
        <f t="shared" si="8"/>
        <v>https://epaper.punyanagari.in/?url=home&amp;ced=32&amp;date=01/10/2026&amp;page=13</v>
      </c>
    </row>
    <row r="152" spans="7:7" x14ac:dyDescent="0.3">
      <c r="G152" t="str">
        <f t="shared" si="8"/>
        <v>https://epaper.punyanagari.in/?url=home&amp;ced=32&amp;date=01/10/2026&amp;page=14</v>
      </c>
    </row>
    <row r="153" spans="7:7" x14ac:dyDescent="0.3">
      <c r="G153" t="str">
        <f>CONCATENATE($A$3,$B$11,$C$3,$D$3,$E$3,F17)</f>
        <v>https://epaper.punyanagari.in/?url=home&amp;ced=32&amp;date=01/10/2026&amp;page=15</v>
      </c>
    </row>
    <row r="154" spans="7:7" x14ac:dyDescent="0.3">
      <c r="G154" t="str">
        <f t="shared" si="8"/>
        <v>https://epaper.punyanagari.in/?url=home&amp;ced=32&amp;date=01/10/2026&amp;page=16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Lokmat</vt:lpstr>
      <vt:lpstr>Sakal</vt:lpstr>
      <vt:lpstr>Loksatta today</vt:lpstr>
      <vt:lpstr>Pudhari</vt:lpstr>
      <vt:lpstr>Punya Nagari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2026-10-03T08:00:37Z</dcterms:modified>
</cp:coreProperties>
</file>